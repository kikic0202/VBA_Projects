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mc:AlternateContent xmlns:mc="http://schemas.openxmlformats.org/markup-compatibility/2006">
    <mc:Choice Requires="x15">
      <x15ac:absPath xmlns:x15ac="http://schemas.microsoft.com/office/spreadsheetml/2010/11/ac" url="K:\FSE Training\VBA\Projects\Project 3\"/>
    </mc:Choice>
  </mc:AlternateContent>
  <xr:revisionPtr revIDLastSave="0" documentId="13_ncr:1_{D515958E-ED52-432C-96A6-F6A1BAB7CAD7}" xr6:coauthVersionLast="47" xr6:coauthVersionMax="47" xr10:uidLastSave="{00000000-0000-0000-0000-000000000000}"/>
  <bookViews>
    <workbookView xWindow="-108" yWindow="-108" windowWidth="23256" windowHeight="13176" tabRatio="854" activeTab="2" xr2:uid="{00000000-000D-0000-FFFF-FFFF00000000}"/>
  </bookViews>
  <sheets>
    <sheet name="Exercise" sheetId="12" r:id="rId1"/>
    <sheet name="Dashboard" sheetId="14" r:id="rId2"/>
    <sheet name="PivotTable" sheetId="163" r:id="rId3"/>
    <sheet name="Map" sheetId="2" r:id="rId4"/>
    <sheet name="RegionTemp" sheetId="7" r:id="rId5"/>
    <sheet name="Summary" sheetId="3" r:id="rId6"/>
    <sheet name="NewData" sheetId="4" r:id="rId7"/>
  </sheets>
  <definedNames>
    <definedName name="_xlnm._FilterDatabase" localSheetId="5" hidden="1">Summary!$A$1:$H$1</definedName>
    <definedName name="MRegion">Map!$G$9:$G$10</definedName>
  </definedNames>
  <calcPr calcId="191029"/>
  <pivotCaches>
    <pivotCache cacheId="21" r:id="rId8"/>
    <pivotCache cacheId="25" r:id="rId9"/>
    <pivotCache cacheId="29" r:id="rId10"/>
    <pivotCache cacheId="33"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41" i="7" l="1"/>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2" i="7"/>
  <c r="N3"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I101" i="7" l="1"/>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L101" i="7"/>
  <c r="M101" i="7" s="1"/>
  <c r="L102" i="7"/>
  <c r="M102" i="7" s="1"/>
  <c r="L103" i="7"/>
  <c r="M103" i="7" s="1"/>
  <c r="L104" i="7"/>
  <c r="M104" i="7" s="1"/>
  <c r="L105" i="7"/>
  <c r="M105" i="7" s="1"/>
  <c r="L106" i="7"/>
  <c r="M106" i="7" s="1"/>
  <c r="L107" i="7"/>
  <c r="M107" i="7" s="1"/>
  <c r="L108" i="7"/>
  <c r="M108" i="7" s="1"/>
  <c r="L109" i="7"/>
  <c r="M109" i="7" s="1"/>
  <c r="L110" i="7"/>
  <c r="M110" i="7" s="1"/>
  <c r="L111" i="7"/>
  <c r="M111" i="7" s="1"/>
  <c r="L112" i="7"/>
  <c r="M112" i="7" s="1"/>
  <c r="L113" i="7"/>
  <c r="M113" i="7" s="1"/>
  <c r="L114" i="7"/>
  <c r="M114" i="7" s="1"/>
  <c r="L115" i="7"/>
  <c r="M115" i="7" s="1"/>
  <c r="L116" i="7"/>
  <c r="M116" i="7" s="1"/>
  <c r="L117" i="7"/>
  <c r="M117" i="7" s="1"/>
  <c r="L118" i="7"/>
  <c r="M118" i="7" s="1"/>
  <c r="L119" i="7"/>
  <c r="M119" i="7" s="1"/>
  <c r="L120" i="7"/>
  <c r="M120" i="7" s="1"/>
  <c r="L121" i="7"/>
  <c r="M121" i="7" s="1"/>
  <c r="L122" i="7"/>
  <c r="M122" i="7" s="1"/>
  <c r="L123" i="7"/>
  <c r="M123" i="7" s="1"/>
  <c r="L124" i="7"/>
  <c r="M124" i="7" s="1"/>
  <c r="L125" i="7"/>
  <c r="M125" i="7" s="1"/>
  <c r="L126" i="7"/>
  <c r="M126" i="7" s="1"/>
  <c r="L127" i="7"/>
  <c r="M127" i="7" s="1"/>
  <c r="L128" i="7"/>
  <c r="M128" i="7" s="1"/>
  <c r="L129" i="7"/>
  <c r="M129" i="7" s="1"/>
  <c r="L130" i="7"/>
  <c r="M130" i="7" s="1"/>
  <c r="L131" i="7"/>
  <c r="M131" i="7" s="1"/>
  <c r="L132" i="7"/>
  <c r="M132" i="7" s="1"/>
  <c r="L133" i="7"/>
  <c r="M133" i="7" s="1"/>
  <c r="L134" i="7"/>
  <c r="M134" i="7" s="1"/>
  <c r="L135" i="7"/>
  <c r="M135" i="7" s="1"/>
  <c r="L136" i="7"/>
  <c r="M136" i="7" s="1"/>
  <c r="L137" i="7"/>
  <c r="M137" i="7" s="1"/>
  <c r="L138" i="7"/>
  <c r="M138" i="7" s="1"/>
  <c r="L139" i="7"/>
  <c r="M139" i="7" s="1"/>
  <c r="L140" i="7"/>
  <c r="M140" i="7" s="1"/>
  <c r="L141" i="7"/>
  <c r="M141" i="7" s="1"/>
  <c r="I80" i="7"/>
  <c r="I81" i="7"/>
  <c r="I82" i="7"/>
  <c r="I83" i="7"/>
  <c r="I84" i="7"/>
  <c r="I85" i="7"/>
  <c r="I86" i="7"/>
  <c r="I87" i="7"/>
  <c r="I88" i="7"/>
  <c r="I89" i="7"/>
  <c r="I90" i="7"/>
  <c r="I91" i="7"/>
  <c r="I92" i="7"/>
  <c r="I93" i="7"/>
  <c r="I94" i="7"/>
  <c r="I95" i="7"/>
  <c r="I96" i="7"/>
  <c r="I97" i="7"/>
  <c r="I98" i="7"/>
  <c r="I99" i="7"/>
  <c r="I100" i="7"/>
  <c r="J80" i="7"/>
  <c r="J81" i="7"/>
  <c r="J82" i="7"/>
  <c r="J83" i="7"/>
  <c r="J84" i="7"/>
  <c r="J85" i="7"/>
  <c r="J86" i="7"/>
  <c r="J87" i="7"/>
  <c r="J88" i="7"/>
  <c r="J89" i="7"/>
  <c r="J90" i="7"/>
  <c r="J91" i="7"/>
  <c r="J92" i="7"/>
  <c r="J93" i="7"/>
  <c r="J94" i="7"/>
  <c r="J95" i="7"/>
  <c r="J96" i="7"/>
  <c r="J97" i="7"/>
  <c r="J98" i="7"/>
  <c r="J99" i="7"/>
  <c r="J100" i="7"/>
  <c r="K80" i="7"/>
  <c r="K81" i="7"/>
  <c r="K82" i="7"/>
  <c r="K83" i="7"/>
  <c r="K84" i="7"/>
  <c r="K85" i="7"/>
  <c r="K86" i="7"/>
  <c r="K87" i="7"/>
  <c r="K88" i="7"/>
  <c r="K89" i="7"/>
  <c r="K90" i="7"/>
  <c r="K91" i="7"/>
  <c r="K92" i="7"/>
  <c r="K93" i="7"/>
  <c r="K94" i="7"/>
  <c r="K95" i="7"/>
  <c r="K96" i="7"/>
  <c r="K97" i="7"/>
  <c r="K98" i="7"/>
  <c r="K99" i="7"/>
  <c r="K100" i="7"/>
  <c r="L80" i="7"/>
  <c r="M80" i="7" s="1"/>
  <c r="L81" i="7"/>
  <c r="M81" i="7" s="1"/>
  <c r="L82" i="7"/>
  <c r="M82" i="7" s="1"/>
  <c r="L83" i="7"/>
  <c r="M83" i="7" s="1"/>
  <c r="L84" i="7"/>
  <c r="M84" i="7" s="1"/>
  <c r="L85" i="7"/>
  <c r="M85" i="7" s="1"/>
  <c r="L86" i="7"/>
  <c r="M86" i="7" s="1"/>
  <c r="L87" i="7"/>
  <c r="M87" i="7" s="1"/>
  <c r="L88" i="7"/>
  <c r="M88" i="7" s="1"/>
  <c r="L89" i="7"/>
  <c r="M89" i="7" s="1"/>
  <c r="L90" i="7"/>
  <c r="M90" i="7" s="1"/>
  <c r="L91" i="7"/>
  <c r="M91" i="7" s="1"/>
  <c r="L92" i="7"/>
  <c r="M92" i="7" s="1"/>
  <c r="L93" i="7"/>
  <c r="M93" i="7" s="1"/>
  <c r="L94" i="7"/>
  <c r="M94" i="7" s="1"/>
  <c r="L95" i="7"/>
  <c r="M95" i="7" s="1"/>
  <c r="L96" i="7"/>
  <c r="M96" i="7" s="1"/>
  <c r="L97" i="7"/>
  <c r="M97" i="7" s="1"/>
  <c r="L98" i="7"/>
  <c r="M98" i="7" s="1"/>
  <c r="L99" i="7"/>
  <c r="M99" i="7" s="1"/>
  <c r="L100" i="7"/>
  <c r="M100" i="7" s="1"/>
  <c r="I79" i="7"/>
  <c r="J79" i="7"/>
  <c r="K79" i="7"/>
  <c r="L79" i="7"/>
  <c r="M79" i="7" s="1"/>
  <c r="I2" i="7"/>
  <c r="J2" i="7"/>
  <c r="K2" i="7"/>
  <c r="L2" i="7"/>
  <c r="M2" i="7" s="1"/>
  <c r="I3" i="7"/>
  <c r="J3" i="7"/>
  <c r="K3" i="7"/>
  <c r="L3" i="7"/>
  <c r="M3" i="7" s="1"/>
  <c r="I4" i="7"/>
  <c r="J4" i="7"/>
  <c r="K4" i="7"/>
  <c r="L4" i="7"/>
  <c r="M4" i="7" s="1"/>
  <c r="I5" i="7"/>
  <c r="J5" i="7"/>
  <c r="K5" i="7"/>
  <c r="L5" i="7"/>
  <c r="M5" i="7" s="1"/>
  <c r="I6" i="7"/>
  <c r="J6" i="7"/>
  <c r="K6" i="7"/>
  <c r="L6" i="7"/>
  <c r="M6" i="7" s="1"/>
  <c r="I7" i="7"/>
  <c r="J7" i="7"/>
  <c r="K7" i="7"/>
  <c r="L7" i="7"/>
  <c r="M7" i="7" s="1"/>
  <c r="I8" i="7"/>
  <c r="J8" i="7"/>
  <c r="K8" i="7"/>
  <c r="L8" i="7"/>
  <c r="M8" i="7" s="1"/>
  <c r="I9" i="7"/>
  <c r="J9" i="7"/>
  <c r="K9" i="7"/>
  <c r="L9" i="7"/>
  <c r="M9" i="7" s="1"/>
  <c r="I10" i="7"/>
  <c r="J10" i="7"/>
  <c r="K10" i="7"/>
  <c r="L10" i="7"/>
  <c r="M10" i="7" s="1"/>
  <c r="I11" i="7"/>
  <c r="J11" i="7"/>
  <c r="K11" i="7"/>
  <c r="L11" i="7"/>
  <c r="M11" i="7" s="1"/>
  <c r="I12" i="7"/>
  <c r="J12" i="7"/>
  <c r="K12" i="7"/>
  <c r="L12" i="7"/>
  <c r="M12" i="7" s="1"/>
  <c r="I13" i="7"/>
  <c r="J13" i="7"/>
  <c r="K13" i="7"/>
  <c r="L13" i="7"/>
  <c r="M13" i="7" s="1"/>
  <c r="I14" i="7"/>
  <c r="J14" i="7"/>
  <c r="K14" i="7"/>
  <c r="L14" i="7"/>
  <c r="M14" i="7" s="1"/>
  <c r="I15" i="7"/>
  <c r="J15" i="7"/>
  <c r="K15" i="7"/>
  <c r="L15" i="7"/>
  <c r="M15" i="7" s="1"/>
  <c r="I16" i="7"/>
  <c r="J16" i="7"/>
  <c r="K16" i="7"/>
  <c r="L16" i="7"/>
  <c r="M16" i="7" s="1"/>
  <c r="I17" i="7"/>
  <c r="J17" i="7"/>
  <c r="K17" i="7"/>
  <c r="L17" i="7"/>
  <c r="M17" i="7" s="1"/>
  <c r="I18" i="7"/>
  <c r="J18" i="7"/>
  <c r="K18" i="7"/>
  <c r="L18" i="7"/>
  <c r="M18" i="7" s="1"/>
  <c r="I19" i="7"/>
  <c r="J19" i="7"/>
  <c r="K19" i="7"/>
  <c r="L19" i="7"/>
  <c r="M19" i="7" s="1"/>
  <c r="I20" i="7"/>
  <c r="J20" i="7"/>
  <c r="K20" i="7"/>
  <c r="L20" i="7"/>
  <c r="M20" i="7" s="1"/>
  <c r="I21" i="7"/>
  <c r="J21" i="7"/>
  <c r="K21" i="7"/>
  <c r="L21" i="7"/>
  <c r="M21" i="7" s="1"/>
  <c r="I22" i="7"/>
  <c r="J22" i="7"/>
  <c r="K22" i="7"/>
  <c r="L22" i="7"/>
  <c r="M22" i="7" s="1"/>
  <c r="I23" i="7"/>
  <c r="J23" i="7"/>
  <c r="K23" i="7"/>
  <c r="L23" i="7"/>
  <c r="M23" i="7" s="1"/>
  <c r="I24" i="7"/>
  <c r="J24" i="7"/>
  <c r="K24" i="7"/>
  <c r="L24" i="7"/>
  <c r="M24" i="7" s="1"/>
  <c r="I25" i="7"/>
  <c r="J25" i="7"/>
  <c r="K25" i="7"/>
  <c r="L25" i="7"/>
  <c r="M25" i="7" s="1"/>
  <c r="I26" i="7"/>
  <c r="J26" i="7"/>
  <c r="K26" i="7"/>
  <c r="L26" i="7"/>
  <c r="M26" i="7" s="1"/>
  <c r="I27" i="7"/>
  <c r="J27" i="7"/>
  <c r="K27" i="7"/>
  <c r="L27" i="7"/>
  <c r="M27" i="7" s="1"/>
  <c r="I28" i="7"/>
  <c r="J28" i="7"/>
  <c r="K28" i="7"/>
  <c r="L28" i="7"/>
  <c r="M28" i="7" s="1"/>
  <c r="I29" i="7"/>
  <c r="J29" i="7"/>
  <c r="K29" i="7"/>
  <c r="L29" i="7"/>
  <c r="M29" i="7" s="1"/>
  <c r="I30" i="7"/>
  <c r="J30" i="7"/>
  <c r="K30" i="7"/>
  <c r="L30" i="7"/>
  <c r="M30" i="7" s="1"/>
  <c r="I31" i="7"/>
  <c r="J31" i="7"/>
  <c r="K31" i="7"/>
  <c r="L31" i="7"/>
  <c r="M31" i="7" s="1"/>
  <c r="I32" i="7"/>
  <c r="J32" i="7"/>
  <c r="K32" i="7"/>
  <c r="L32" i="7"/>
  <c r="M32" i="7" s="1"/>
  <c r="I33" i="7"/>
  <c r="J33" i="7"/>
  <c r="K33" i="7"/>
  <c r="L33" i="7"/>
  <c r="M33" i="7" s="1"/>
  <c r="I34" i="7"/>
  <c r="J34" i="7"/>
  <c r="K34" i="7"/>
  <c r="L34" i="7"/>
  <c r="M34" i="7" s="1"/>
  <c r="I35" i="7"/>
  <c r="J35" i="7"/>
  <c r="K35" i="7"/>
  <c r="L35" i="7"/>
  <c r="M35" i="7" s="1"/>
  <c r="I36" i="7"/>
  <c r="J36" i="7"/>
  <c r="K36" i="7"/>
  <c r="L36" i="7"/>
  <c r="M36" i="7" s="1"/>
  <c r="I37" i="7"/>
  <c r="J37" i="7"/>
  <c r="K37" i="7"/>
  <c r="L37" i="7"/>
  <c r="M37" i="7" s="1"/>
  <c r="I38" i="7"/>
  <c r="J38" i="7"/>
  <c r="K38" i="7"/>
  <c r="L38" i="7"/>
  <c r="M38" i="7" s="1"/>
  <c r="I39" i="7"/>
  <c r="J39" i="7"/>
  <c r="K39" i="7"/>
  <c r="L39" i="7"/>
  <c r="M39" i="7" s="1"/>
  <c r="I40" i="7"/>
  <c r="J40" i="7"/>
  <c r="K40" i="7"/>
  <c r="L40" i="7"/>
  <c r="M40" i="7" s="1"/>
  <c r="I41" i="7"/>
  <c r="J41" i="7"/>
  <c r="K41" i="7"/>
  <c r="L41" i="7"/>
  <c r="M41" i="7" s="1"/>
  <c r="I42" i="7"/>
  <c r="J42" i="7"/>
  <c r="K42" i="7"/>
  <c r="L42" i="7"/>
  <c r="M42" i="7" s="1"/>
  <c r="I43" i="7"/>
  <c r="J43" i="7"/>
  <c r="K43" i="7"/>
  <c r="L43" i="7"/>
  <c r="M43" i="7" s="1"/>
  <c r="I44" i="7"/>
  <c r="J44" i="7"/>
  <c r="K44" i="7"/>
  <c r="L44" i="7"/>
  <c r="M44" i="7" s="1"/>
  <c r="I45" i="7"/>
  <c r="J45" i="7"/>
  <c r="K45" i="7"/>
  <c r="L45" i="7"/>
  <c r="M45" i="7" s="1"/>
  <c r="I46" i="7"/>
  <c r="J46" i="7"/>
  <c r="K46" i="7"/>
  <c r="L46" i="7"/>
  <c r="M46" i="7" s="1"/>
  <c r="I47" i="7"/>
  <c r="J47" i="7"/>
  <c r="K47" i="7"/>
  <c r="L47" i="7"/>
  <c r="M47" i="7" s="1"/>
  <c r="I48" i="7"/>
  <c r="J48" i="7"/>
  <c r="K48" i="7"/>
  <c r="L48" i="7"/>
  <c r="M48" i="7" s="1"/>
  <c r="I49" i="7"/>
  <c r="J49" i="7"/>
  <c r="K49" i="7"/>
  <c r="L49" i="7"/>
  <c r="M49" i="7" s="1"/>
  <c r="I50" i="7"/>
  <c r="J50" i="7"/>
  <c r="K50" i="7"/>
  <c r="L50" i="7"/>
  <c r="M50" i="7" s="1"/>
  <c r="I51" i="7"/>
  <c r="J51" i="7"/>
  <c r="K51" i="7"/>
  <c r="L51" i="7"/>
  <c r="M51" i="7" s="1"/>
  <c r="I52" i="7"/>
  <c r="J52" i="7"/>
  <c r="K52" i="7"/>
  <c r="L52" i="7"/>
  <c r="M52" i="7" s="1"/>
  <c r="I53" i="7"/>
  <c r="J53" i="7"/>
  <c r="K53" i="7"/>
  <c r="L53" i="7"/>
  <c r="M53" i="7" s="1"/>
  <c r="I54" i="7"/>
  <c r="J54" i="7"/>
  <c r="K54" i="7"/>
  <c r="L54" i="7"/>
  <c r="M54" i="7" s="1"/>
  <c r="I55" i="7"/>
  <c r="J55" i="7"/>
  <c r="K55" i="7"/>
  <c r="L55" i="7"/>
  <c r="M55" i="7" s="1"/>
  <c r="I56" i="7"/>
  <c r="J56" i="7"/>
  <c r="K56" i="7"/>
  <c r="L56" i="7"/>
  <c r="M56" i="7" s="1"/>
  <c r="I57" i="7"/>
  <c r="J57" i="7"/>
  <c r="K57" i="7"/>
  <c r="L57" i="7"/>
  <c r="M57" i="7" s="1"/>
  <c r="I58" i="7"/>
  <c r="J58" i="7"/>
  <c r="K58" i="7"/>
  <c r="L58" i="7"/>
  <c r="M58" i="7" s="1"/>
  <c r="I59" i="7"/>
  <c r="J59" i="7"/>
  <c r="K59" i="7"/>
  <c r="L59" i="7"/>
  <c r="M59" i="7" s="1"/>
  <c r="I60" i="7"/>
  <c r="J60" i="7"/>
  <c r="K60" i="7"/>
  <c r="L60" i="7"/>
  <c r="M60" i="7" s="1"/>
  <c r="I61" i="7"/>
  <c r="J61" i="7"/>
  <c r="K61" i="7"/>
  <c r="L61" i="7"/>
  <c r="M61" i="7" s="1"/>
  <c r="I62" i="7"/>
  <c r="J62" i="7"/>
  <c r="K62" i="7"/>
  <c r="L62" i="7"/>
  <c r="M62" i="7" s="1"/>
  <c r="I63" i="7"/>
  <c r="J63" i="7"/>
  <c r="K63" i="7"/>
  <c r="L63" i="7"/>
  <c r="M63" i="7" s="1"/>
  <c r="I64" i="7"/>
  <c r="J64" i="7"/>
  <c r="K64" i="7"/>
  <c r="L64" i="7"/>
  <c r="M64" i="7" s="1"/>
  <c r="I65" i="7"/>
  <c r="J65" i="7"/>
  <c r="K65" i="7"/>
  <c r="L65" i="7"/>
  <c r="M65" i="7" s="1"/>
  <c r="I66" i="7"/>
  <c r="J66" i="7"/>
  <c r="K66" i="7"/>
  <c r="L66" i="7"/>
  <c r="M66" i="7" s="1"/>
  <c r="I67" i="7"/>
  <c r="J67" i="7"/>
  <c r="K67" i="7"/>
  <c r="L67" i="7"/>
  <c r="M67" i="7" s="1"/>
  <c r="I68" i="7"/>
  <c r="J68" i="7"/>
  <c r="K68" i="7"/>
  <c r="L68" i="7"/>
  <c r="M68" i="7" s="1"/>
  <c r="I69" i="7"/>
  <c r="J69" i="7"/>
  <c r="K69" i="7"/>
  <c r="L69" i="7"/>
  <c r="M69" i="7" s="1"/>
  <c r="I70" i="7"/>
  <c r="J70" i="7"/>
  <c r="K70" i="7"/>
  <c r="L70" i="7"/>
  <c r="M70" i="7" s="1"/>
  <c r="I71" i="7"/>
  <c r="J71" i="7"/>
  <c r="K71" i="7"/>
  <c r="L71" i="7"/>
  <c r="M71" i="7" s="1"/>
  <c r="I72" i="7"/>
  <c r="J72" i="7"/>
  <c r="K72" i="7"/>
  <c r="L72" i="7"/>
  <c r="M72" i="7" s="1"/>
  <c r="I73" i="7"/>
  <c r="J73" i="7"/>
  <c r="K73" i="7"/>
  <c r="L73" i="7"/>
  <c r="M73" i="7" s="1"/>
  <c r="I74" i="7"/>
  <c r="J74" i="7"/>
  <c r="K74" i="7"/>
  <c r="L74" i="7"/>
  <c r="M74" i="7" s="1"/>
  <c r="I75" i="7"/>
  <c r="J75" i="7"/>
  <c r="K75" i="7"/>
  <c r="L75" i="7"/>
  <c r="M75" i="7" s="1"/>
  <c r="I76" i="7"/>
  <c r="J76" i="7"/>
  <c r="K76" i="7"/>
  <c r="L76" i="7"/>
  <c r="M76" i="7" s="1"/>
  <c r="I77" i="7"/>
  <c r="J77" i="7"/>
  <c r="K77" i="7"/>
  <c r="L77" i="7"/>
  <c r="M77" i="7" s="1"/>
  <c r="I78" i="7"/>
  <c r="J78" i="7"/>
  <c r="K78" i="7"/>
  <c r="L78" i="7"/>
  <c r="M78" i="7" s="1"/>
</calcChain>
</file>

<file path=xl/sharedStrings.xml><?xml version="1.0" encoding="utf-8"?>
<sst xmlns="http://schemas.openxmlformats.org/spreadsheetml/2006/main" count="511" uniqueCount="109">
  <si>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</si>
  <si>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</si>
  <si>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</si>
  <si>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</si>
  <si>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</si>
  <si>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</si>
  <si>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</si>
  <si>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</si>
  <si>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</si>
  <si>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</si>
  <si>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</si>
  <si>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</si>
  <si>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</si>
  <si>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</si>
  <si>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</si>
  <si>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</si>
  <si>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</si>
  <si>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</si>
  <si>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</si>
  <si>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</si>
  <si>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</si>
  <si>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</si>
  <si>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</si>
  <si>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</si>
  <si>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</si>
  <si>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</si>
  <si>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</si>
  <si>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</si>
  <si>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</si>
  <si>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</si>
  <si>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</si>
  <si>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</si>
  <si>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</si>
  <si>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</si>
  <si>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</si>
  <si>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</si>
  <si>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</si>
  <si>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</si>
  <si>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</si>
  <si>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</si>
  <si>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</si>
  <si>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</si>
  <si>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</si>
  <si>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</si>
  <si>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</si>
  <si>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</si>
  <si>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</si>
  <si>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</si>
  <si>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</si>
  <si>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</si>
  <si>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</si>
  <si>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</si>
  <si>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</si>
  <si>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</si>
  <si>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</si>
  <si>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</si>
  <si>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</si>
  <si>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</si>
  <si>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</si>
  <si>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Region</t>
  </si>
  <si>
    <t>America</t>
  </si>
  <si>
    <t>Europe</t>
  </si>
  <si>
    <t>Tasks Completed</t>
  </si>
  <si>
    <t>Regions</t>
  </si>
  <si>
    <t>Werner Strauss</t>
  </si>
  <si>
    <t>Aida GmbH</t>
  </si>
  <si>
    <t>Liebher</t>
  </si>
  <si>
    <t>Average monthly exchange rates</t>
  </si>
  <si>
    <t>Follow the instructions given below to integrate the required functionality in designing the dashboard.</t>
  </si>
  <si>
    <t>S. No.</t>
  </si>
  <si>
    <t>Instructions</t>
  </si>
  <si>
    <t>Importing data from mutiple files into the master file. Use multiSelect method to select multiple files.</t>
  </si>
  <si>
    <t>Copy and paste the required column from th NewData tab into the Summary tab.</t>
  </si>
  <si>
    <t>Use Find function to find the matching headings between the Summary and NewData tab.</t>
  </si>
  <si>
    <t>Exercise</t>
  </si>
  <si>
    <t>Create a dashboard that allows to import data from multilple files, export to other formats, and provides an admin access to all the tabs of the worksheet.</t>
  </si>
  <si>
    <t xml:space="preserve">Copy the values from "NewData" tab into the "Summary" tab to have a consolidated data. Import the data into summary tab one below the other. </t>
  </si>
  <si>
    <t>Create an input box to accept the access for the admin portal. The admin has the access to all the sheets, otherwise only "Exercise", "Dashboard", and "RegionTemp" sheet is accessible. Lock the project code for viewing. Go to Tools -&gt; Project Properties -&gt; Lock Project for Viewing, enter the password, and re-open the file.</t>
  </si>
  <si>
    <t>Display a message for every task completion. The "Clear" button clears all the statuses of tasks completion to begin from the start.</t>
  </si>
  <si>
    <t>Copy data from Summary tab for the region selected to RegionTemp.</t>
  </si>
  <si>
    <t>Create a CSV for the imported consolidated data.</t>
  </si>
  <si>
    <t xml:space="preserve">Create a drop-down menu for two regions i.e., America, and Europe. And then generate two reports. </t>
  </si>
  <si>
    <t xml:space="preserve">Import all the data from the provided files located in the data folder in the "NewData" tab one by one. This will act as a clipboard. </t>
  </si>
  <si>
    <t>One report will contain the pivot table on regional level displaying the sales and quantity of articles for their companies. 
The second report will display:
i. the overall sales and rejection rate of all the companies alongwith a bar chart
i. the sales and quantity of all the articles, company wise
ii. the rejection quantity of all articles and their rejection rate as well, company wise.
The mapping of countries w.r.t region is mentioned in the Map tab.</t>
  </si>
  <si>
    <t>Internal code</t>
  </si>
  <si>
    <t>C11</t>
  </si>
  <si>
    <t>C14</t>
  </si>
  <si>
    <t>C19</t>
  </si>
  <si>
    <t>C18</t>
  </si>
  <si>
    <t>C10</t>
  </si>
  <si>
    <t>C17</t>
  </si>
  <si>
    <t>C13</t>
  </si>
  <si>
    <t>C16</t>
  </si>
  <si>
    <t>C12</t>
  </si>
  <si>
    <t>C20</t>
  </si>
  <si>
    <t>C15</t>
  </si>
  <si>
    <t>Row Labels</t>
  </si>
  <si>
    <t>Grand Total</t>
  </si>
  <si>
    <t>Sum of Quantity</t>
  </si>
  <si>
    <t>Data imported for: 1030AT,1040DE,1020US,1010US</t>
  </si>
  <si>
    <t>(All)</t>
  </si>
  <si>
    <t>Values</t>
  </si>
  <si>
    <t>Sum of Rejection</t>
  </si>
  <si>
    <t>Reject Rates</t>
  </si>
  <si>
    <t>Sum of Rejection Rates</t>
  </si>
  <si>
    <t xml:space="preserve"> </t>
  </si>
  <si>
    <t>Pivot based report for region level is generated.</t>
  </si>
  <si>
    <t>Pivot based reports for company level are generated.</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</si>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</sst>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numFmt numFmtId="165" formatCode="0.####%"/>
  </numFmts>
  <fonts count="22" x14ac:knownFonts="1">
    <font>
      <sz val="10"/>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b/>
      <sz val="10"/>
      <color indexed="9"/>
      <name val="Arial"/>
      <family val="2"/>
      <scheme val="minor"/>
    </font>
    <font>
      <sz val="10"/>
      <color theme="1"/>
      <name val="Arial"/>
      <family val="2"/>
      <scheme val="minor"/>
    </font>
    <font>
      <sz val="10"/>
      <color rgb="FF000000"/>
      <name val="Arial"/>
      <family val="2"/>
    </font>
    <font>
      <b/>
      <sz val="10"/>
      <color theme="1"/>
      <name val="Arial"/>
      <family val="2"/>
      <scheme val="minor"/>
    </font>
    <font>
      <b/>
      <sz val="11"/>
      <color theme="1"/>
      <name val="Arial"/>
      <family val="2"/>
      <scheme val="minor"/>
    </font>
    <font>
      <b/>
      <u/>
      <sz val="20"/>
      <color rgb="FFFF0000"/>
      <name val="Arial"/>
      <family val="2"/>
      <scheme val="minor"/>
    </font>
    <font>
      <sz val="14"/>
      <color theme="1" tint="0.249977111117893"/>
      <name val="Arial"/>
      <family val="2"/>
      <scheme val="minor"/>
    </font>
    <font>
      <sz val="10"/>
      <color theme="1"/>
      <name val="Arial"/>
      <family val="2"/>
    </font>
    <font>
      <b/>
      <sz val="12"/>
      <color theme="1"/>
      <name val="Arial"/>
      <family val="2"/>
      <scheme val="minor"/>
    </font>
    <font>
      <b/>
      <sz val="11"/>
      <color indexed="9"/>
      <name val="Arial"/>
      <family val="2"/>
      <scheme val="minor"/>
    </font>
  </fonts>
  <fills count="12">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1F497D"/>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style="thin">
        <color indexed="64"/>
      </left>
      <right style="thin">
        <color indexed="64"/>
      </right>
      <top style="thin">
        <color indexed="64"/>
      </top>
      <bottom style="thin">
        <color indexed="64"/>
      </bottom>
      <diagonal/>
    </border>
    <border>
      <left style="medium">
        <color theme="1" tint="0.34998626667073579"/>
      </left>
      <right style="thin">
        <color theme="0" tint="-0.14996795556505021"/>
      </right>
      <top style="medium">
        <color theme="1" tint="0.499984740745262"/>
      </top>
      <bottom style="thin">
        <color theme="0" tint="-0.14996795556505021"/>
      </bottom>
      <diagonal/>
    </border>
    <border>
      <left/>
      <right/>
      <top style="thin">
        <color theme="0" tint="-0.14996795556505021"/>
      </top>
      <bottom style="thin">
        <color theme="0" tint="-0.14996795556505021"/>
      </bottom>
      <diagonal/>
    </border>
  </borders>
  <cellStyleXfs count="4">
    <xf numFmtId="0" fontId="0" fillId="0" borderId="0"/>
    <xf numFmtId="0" fontId="8" fillId="0" borderId="0"/>
    <xf numFmtId="0" fontId="2" fillId="0" borderId="0"/>
    <xf numFmtId="9" fontId="13" fillId="0" borderId="0" applyFont="0" applyFill="0" applyBorder="0" applyAlignment="0" applyProtection="0"/>
  </cellStyleXfs>
  <cellXfs count="57">
    <xf numFmtId="0" fontId="0" fillId="0" borderId="0" xfId="0"/>
    <xf numFmtId="0" fontId="9" fillId="0" borderId="0" xfId="0" applyFont="1"/>
    <xf numFmtId="0" fontId="0" fillId="2" borderId="0" xfId="0" applyFill="1" applyBorder="1"/>
    <xf numFmtId="0" fontId="10" fillId="2" borderId="0" xfId="0" applyFont="1" applyFill="1" applyBorder="1"/>
    <xf numFmtId="0" fontId="0" fillId="0" borderId="1" xfId="0" applyBorder="1"/>
    <xf numFmtId="49" fontId="11" fillId="3" borderId="0" xfId="0" applyNumberFormat="1" applyFont="1" applyFill="1" applyBorder="1" applyAlignment="1">
      <alignment horizontal="left" vertical="center" wrapText="1"/>
    </xf>
    <xf numFmtId="0" fontId="10" fillId="4" borderId="2" xfId="0" applyNumberFormat="1" applyFont="1" applyFill="1" applyBorder="1" applyAlignment="1" applyProtection="1">
      <alignment horizontal="center" vertical="center" wrapText="1"/>
      <protection locked="0"/>
    </xf>
    <xf numFmtId="0" fontId="13" fillId="0" borderId="0" xfId="0" applyFont="1"/>
    <xf numFmtId="14" fontId="0" fillId="0" borderId="0" xfId="0" applyNumberFormat="1"/>
    <xf numFmtId="0" fontId="13" fillId="0" borderId="0" xfId="0" applyFont="1" applyBorder="1"/>
    <xf numFmtId="0" fontId="0" fillId="0" borderId="0" xfId="0" applyNumberFormat="1" applyFont="1" applyProtection="1"/>
    <xf numFmtId="0" fontId="12" fillId="6" borderId="0" xfId="0" applyFont="1" applyFill="1" applyBorder="1" applyAlignment="1">
      <alignment horizontal="center" vertical="center" wrapText="1"/>
    </xf>
    <xf numFmtId="0" fontId="12" fillId="6" borderId="0" xfId="0" applyFont="1" applyFill="1" applyAlignment="1">
      <alignment horizontal="center" vertical="center" wrapText="1"/>
    </xf>
    <xf numFmtId="0" fontId="0" fillId="0" borderId="0" xfId="0" applyBorder="1"/>
    <xf numFmtId="0" fontId="0" fillId="0" borderId="0" xfId="0" applyNumberFormat="1" applyBorder="1"/>
    <xf numFmtId="2" fontId="0" fillId="0" borderId="0" xfId="0" applyNumberFormat="1" applyFont="1" applyProtection="1"/>
    <xf numFmtId="0" fontId="17" fillId="8" borderId="0" xfId="1" applyFont="1" applyFill="1"/>
    <xf numFmtId="0" fontId="8" fillId="8" borderId="0" xfId="1" applyFill="1"/>
    <xf numFmtId="0" fontId="18" fillId="8" borderId="0" xfId="1" applyFont="1" applyFill="1"/>
    <xf numFmtId="0" fontId="16" fillId="9" borderId="3" xfId="1" applyFont="1" applyFill="1" applyBorder="1" applyAlignment="1">
      <alignment horizontal="center"/>
    </xf>
    <xf numFmtId="0" fontId="8" fillId="7" borderId="3" xfId="1" applyFill="1" applyBorder="1" applyAlignment="1">
      <alignment vertical="center"/>
    </xf>
    <xf numFmtId="0" fontId="0" fillId="7" borderId="0" xfId="0" applyFill="1" applyProtection="1">
      <protection locked="0"/>
    </xf>
    <xf numFmtId="0" fontId="0" fillId="7" borderId="1" xfId="0" applyFill="1" applyBorder="1" applyProtection="1">
      <protection locked="0"/>
    </xf>
    <xf numFmtId="0" fontId="0" fillId="0" borderId="1" xfId="0" applyNumberFormat="1" applyBorder="1"/>
    <xf numFmtId="0" fontId="7" fillId="7" borderId="3" xfId="1" applyFont="1" applyFill="1" applyBorder="1" applyAlignment="1">
      <alignment vertical="center" wrapText="1"/>
    </xf>
    <xf numFmtId="0" fontId="6" fillId="7" borderId="3" xfId="1" applyFont="1" applyFill="1" applyBorder="1" applyAlignment="1">
      <alignment vertical="center" wrapText="1"/>
    </xf>
    <xf numFmtId="0" fontId="5" fillId="7" borderId="3" xfId="1" applyFont="1" applyFill="1" applyBorder="1" applyAlignment="1">
      <alignment vertical="center" wrapText="1"/>
    </xf>
    <xf numFmtId="0" fontId="4" fillId="7" borderId="3" xfId="1" applyFont="1" applyFill="1" applyBorder="1" applyAlignment="1">
      <alignment vertical="center" wrapText="1"/>
    </xf>
    <xf numFmtId="0" fontId="4" fillId="7" borderId="3" xfId="1" applyFont="1" applyFill="1" applyBorder="1" applyAlignment="1">
      <alignment vertical="center"/>
    </xf>
    <xf numFmtId="0" fontId="3" fillId="7" borderId="3" xfId="1" applyFont="1" applyFill="1" applyBorder="1" applyAlignment="1">
      <alignment vertical="center" wrapText="1"/>
    </xf>
    <xf numFmtId="0" fontId="0" fillId="0" borderId="0" xfId="0" applyAlignment="1">
      <alignment horizontal="center"/>
    </xf>
    <xf numFmtId="0" fontId="0" fillId="0" borderId="0" xfId="0" applyAlignment="1">
      <alignment horizontal="right"/>
    </xf>
    <xf numFmtId="0" fontId="20" fillId="0" borderId="0" xfId="0" applyFont="1" applyAlignment="1">
      <alignment horizontal="left"/>
    </xf>
    <xf numFmtId="0" fontId="20" fillId="10" borderId="4" xfId="0" applyFont="1" applyFill="1" applyBorder="1" applyAlignment="1" applyProtection="1">
      <alignment horizontal="center"/>
      <protection locked="0"/>
    </xf>
    <xf numFmtId="0" fontId="21" fillId="11" borderId="0" xfId="0" applyFont="1" applyFill="1" applyAlignment="1">
      <alignment horizontal="center" vertical="center" wrapText="1"/>
    </xf>
    <xf numFmtId="0" fontId="21" fillId="11" borderId="0" xfId="0" applyFont="1" applyFill="1" applyAlignment="1">
      <alignment horizontal="left" vertical="center" wrapText="1"/>
    </xf>
    <xf numFmtId="0" fontId="21" fillId="11" borderId="0" xfId="0" applyFont="1" applyFill="1" applyAlignment="1">
      <alignment horizontal="right" vertical="center" wrapText="1"/>
    </xf>
    <xf numFmtId="0" fontId="19" fillId="0" borderId="2" xfId="0" applyFont="1" applyBorder="1"/>
    <xf numFmtId="14" fontId="19" fillId="0" borderId="2" xfId="0" applyNumberFormat="1" applyFont="1" applyBorder="1" applyAlignment="1">
      <alignment horizontal="center"/>
    </xf>
    <xf numFmtId="0" fontId="13" fillId="0" borderId="2" xfId="0" applyFont="1" applyBorder="1"/>
    <xf numFmtId="0" fontId="13" fillId="0" borderId="2" xfId="0" applyFont="1" applyBorder="1" applyAlignment="1">
      <alignment horizontal="right"/>
    </xf>
    <xf numFmtId="0" fontId="13" fillId="0" borderId="5" xfId="0" applyFont="1" applyBorder="1" applyAlignment="1">
      <alignment horizontal="right"/>
    </xf>
    <xf numFmtId="0" fontId="19" fillId="0" borderId="5" xfId="0" applyFont="1" applyBorder="1"/>
    <xf numFmtId="0" fontId="13" fillId="0" borderId="5" xfId="0" applyFont="1" applyBorder="1"/>
    <xf numFmtId="0" fontId="13" fillId="0" borderId="0" xfId="0" applyFont="1" applyAlignment="1">
      <alignment horizontal="center"/>
    </xf>
    <xf numFmtId="0" fontId="13" fillId="0" borderId="0" xfId="0" applyFont="1" applyAlignment="1">
      <alignment horizontal="right"/>
    </xf>
    <xf numFmtId="14" fontId="13" fillId="0" borderId="0" xfId="0" applyNumberFormat="1" applyFont="1"/>
    <xf numFmtId="0" fontId="12" fillId="5" borderId="0" xfId="0" applyFont="1" applyFill="1" applyAlignment="1">
      <alignment horizontal="center" vertical="center" wrapText="1"/>
    </xf>
    <xf numFmtId="0" fontId="15" fillId="0" borderId="1" xfId="0" applyFont="1" applyBorder="1"/>
    <xf numFmtId="0" fontId="0" fillId="0" borderId="0" xfId="0" pivotButton="1"/>
    <xf numFmtId="0" fontId="0" fillId="0" borderId="0" xfId="0" applyAlignment="1">
      <alignment horizontal="left"/>
    </xf>
    <xf numFmtId="10" fontId="0" fillId="0" borderId="0" xfId="3" applyNumberFormat="1" applyFont="1" applyProtection="1"/>
    <xf numFmtId="10" fontId="0" fillId="0" borderId="0" xfId="0" applyNumberFormat="1" applyFont="1" applyProtection="1"/>
    <xf numFmtId="164" fontId="0" fillId="0" borderId="0" xfId="0" applyNumberFormat="1"/>
    <xf numFmtId="165" fontId="0" fillId="0" borderId="0" xfId="0" applyNumberFormat="1"/>
    <xf numFmtId="0" fontId="1" fillId="8" borderId="0" xfId="1" applyFont="1" applyFill="1"/>
    <xf numFmtId="0" fontId="1" fillId="7" borderId="3" xfId="1" applyFont="1" applyFill="1" applyBorder="1" applyAlignment="1">
      <alignment vertical="center" wrapText="1"/>
    </xf>
  </cellXfs>
  <cellStyles count="4">
    <cellStyle name="Normal" xfId="0" builtinId="0" customBuiltin="1"/>
    <cellStyle name="Normal 2" xfId="1" xr:uid="{A602FCB7-04C3-42AC-9D72-DCFACF186AB1}"/>
    <cellStyle name="Normal 3" xfId="2" xr:uid="{89FBD246-100B-48A3-BF2E-588AEF2F161D}"/>
    <cellStyle name="Percent" xfId="3" builtinId="5"/>
  </cellStyles>
  <dxfs count="32">
    <dxf>
      <font>
        <b/>
        <i val="0"/>
        <strike val="0"/>
        <condense val="0"/>
        <extend val="0"/>
        <outline val="0"/>
        <shadow val="0"/>
        <u val="none"/>
        <vertAlign val="baseline"/>
        <sz val="10"/>
        <color indexed="9"/>
        <name val="Arial"/>
        <family val="2"/>
        <scheme val="minor"/>
      </font>
      <numFmt numFmtId="19" formatCode="yyyy/mm/dd"/>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numFmt numFmtId="14" formatCode="0.00%"/>
      <protection locked="1" hidden="0"/>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dxf>
    <dxf>
      <border outline="0">
        <bottom style="medium">
          <color indexed="64"/>
        </bottom>
      </bord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31"/>
      <tableStyleElement type="headerRow" dxfId="30"/>
      <tableStyleElement type="totalRow" dxfId="29"/>
      <tableStyleElement type="firstRowStripe" dxfId="28"/>
      <tableStyleElement type="firstColumnStripe"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MySlicer" pivot="0" table="0" count="10" xr9:uid="{00000000-0011-0000-FFFF-FFFF01000000}">
      <tableStyleElement type="wholeTable" dxfId="20"/>
      <tableStyleElement type="headerRow" dxfId="19"/>
    </tableStyle>
    <tableStyle name="Table Style 1" pivot="0" count="1" xr9:uid="{00000000-0011-0000-FFFF-FFFF02000000}">
      <tableStyleElement type="wholeTable" dxfId="18"/>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03-Dashboard for Reporting Purposes.xlsm]PivotTable!Sales and Rejection on Company Level</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Sales and Rejection Rates on Company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PivotTable!$F$3:$F$4</c:f>
              <c:strCache>
                <c:ptCount val="1"/>
                <c:pt idx="0">
                  <c:v>Sum of Rejection Rates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PivotTable!$E$5:$E$9</c:f>
              <c:strCache>
                <c:ptCount val="4"/>
                <c:pt idx="0">
                  <c:v>Bere Kleid</c:v>
                </c:pt>
                <c:pt idx="1">
                  <c:v>Lucas Basics</c:v>
                </c:pt>
                <c:pt idx="2">
                  <c:v>Meta Creations</c:v>
                </c:pt>
                <c:pt idx="3">
                  <c:v>Urban Right</c:v>
                </c:pt>
              </c:strCache>
            </c:strRef>
          </c:cat>
          <c:val>
            <c:numRef>
              <c:f>PivotTable!$F$5:$F$9</c:f>
              <c:numCache>
                <c:formatCode>0.####%</c:formatCode>
                <c:ptCount val="4"/>
                <c:pt idx="0">
                  <c:v>1.6339869281045752E-3</c:v>
                </c:pt>
                <c:pt idx="1">
                  <c:v>9.8039215686274508E-4</c:v>
                </c:pt>
                <c:pt idx="2">
                  <c:v>1.4705882352941176E-3</c:v>
                </c:pt>
                <c:pt idx="3">
                  <c:v>1.9607843137254902E-3</c:v>
                </c:pt>
              </c:numCache>
            </c:numRef>
          </c:val>
          <c:extLst>
            <c:ext xmlns:c16="http://schemas.microsoft.com/office/drawing/2014/chart" uri="{C3380CC4-5D6E-409C-BE32-E72D297353CC}">
              <c16:uniqueId val="{00000000-5745-4717-8B98-EDD9A54352D4}"/>
            </c:ext>
          </c:extLst>
        </c:ser>
        <c:ser>
          <c:idx val="1"/>
          <c:order val="1"/>
          <c:tx>
            <c:strRef>
              <c:f>PivotTable!$G$3:$G$4</c:f>
              <c:strCache>
                <c:ptCount val="1"/>
                <c:pt idx="0">
                  <c:v>Sum of Sales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PivotTable!$E$5:$E$9</c:f>
              <c:strCache>
                <c:ptCount val="4"/>
                <c:pt idx="0">
                  <c:v>Bere Kleid</c:v>
                </c:pt>
                <c:pt idx="1">
                  <c:v>Lucas Basics</c:v>
                </c:pt>
                <c:pt idx="2">
                  <c:v>Meta Creations</c:v>
                </c:pt>
                <c:pt idx="3">
                  <c:v>Urban Right</c:v>
                </c:pt>
              </c:strCache>
            </c:strRef>
          </c:cat>
          <c:val>
            <c:numRef>
              <c:f>PivotTable!$G$5:$G$9</c:f>
              <c:numCache>
                <c:formatCode>#,###</c:formatCode>
                <c:ptCount val="4"/>
                <c:pt idx="0">
                  <c:v>544079.02</c:v>
                </c:pt>
                <c:pt idx="1">
                  <c:v>104663.59</c:v>
                </c:pt>
                <c:pt idx="2">
                  <c:v>19640</c:v>
                </c:pt>
                <c:pt idx="3">
                  <c:v>66100</c:v>
                </c:pt>
              </c:numCache>
            </c:numRef>
          </c:val>
          <c:extLst>
            <c:ext xmlns:c16="http://schemas.microsoft.com/office/drawing/2014/chart" uri="{C3380CC4-5D6E-409C-BE32-E72D297353CC}">
              <c16:uniqueId val="{00000001-5745-4717-8B98-EDD9A54352D4}"/>
            </c:ext>
          </c:extLst>
        </c:ser>
        <c:dLbls>
          <c:dLblPos val="outEnd"/>
          <c:showLegendKey val="0"/>
          <c:showVal val="1"/>
          <c:showCatName val="0"/>
          <c:showSerName val="0"/>
          <c:showPercent val="0"/>
          <c:showBubbleSize val="0"/>
        </c:dLbls>
        <c:gapWidth val="219"/>
        <c:overlap val="-27"/>
        <c:axId val="649909648"/>
        <c:axId val="649910064"/>
      </c:barChart>
      <c:catAx>
        <c:axId val="64990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910064"/>
        <c:crosses val="autoZero"/>
        <c:auto val="1"/>
        <c:lblAlgn val="ctr"/>
        <c:lblOffset val="100"/>
        <c:noMultiLvlLbl val="0"/>
      </c:catAx>
      <c:valAx>
        <c:axId val="649910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909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8</xdr:col>
      <xdr:colOff>390350</xdr:colOff>
      <xdr:row>13</xdr:row>
      <xdr:rowOff>74952</xdr:rowOff>
    </xdr:from>
    <xdr:to>
      <xdr:col>11</xdr:col>
      <xdr:colOff>600248</xdr:colOff>
      <xdr:row>20</xdr:row>
      <xdr:rowOff>83439</xdr:rowOff>
    </xdr:to>
    <xdr:sp macro="" textlink="">
      <xdr:nvSpPr>
        <xdr:cNvPr id="11" name="Rectangle: Top Corners One Rounded and One Snipped 10">
          <a:extLst>
            <a:ext uri="{FF2B5EF4-FFF2-40B4-BE49-F238E27FC236}">
              <a16:creationId xmlns:a16="http://schemas.microsoft.com/office/drawing/2014/main" id="{00000000-0008-0000-0100-00000B000000}"/>
            </a:ext>
          </a:extLst>
        </xdr:cNvPr>
        <xdr:cNvSpPr/>
      </xdr:nvSpPr>
      <xdr:spPr>
        <a:xfrm>
          <a:off x="5267150" y="2155212"/>
          <a:ext cx="2038698" cy="112862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data from Sales</a:t>
          </a:r>
          <a:r>
            <a:rPr lang="en-US" sz="1050" baseline="0"/>
            <a:t> Document for one or more companies in one go</a:t>
          </a:r>
          <a:r>
            <a:rPr lang="en-US" sz="900" baseline="0"/>
            <a:t>. </a:t>
          </a:r>
          <a:endParaRPr lang="en-US" sz="900" b="0" i="1"/>
        </a:p>
      </xdr:txBody>
    </xdr:sp>
    <xdr:clientData/>
  </xdr:twoCellAnchor>
  <xdr:twoCellAnchor editAs="oneCell">
    <xdr:from>
      <xdr:col>12</xdr:col>
      <xdr:colOff>491837</xdr:colOff>
      <xdr:row>13</xdr:row>
      <xdr:rowOff>103529</xdr:rowOff>
    </xdr:from>
    <xdr:to>
      <xdr:col>16</xdr:col>
      <xdr:colOff>88323</xdr:colOff>
      <xdr:row>20</xdr:row>
      <xdr:rowOff>104394</xdr:rowOff>
    </xdr:to>
    <xdr:sp macro="" textlink="">
      <xdr:nvSpPr>
        <xdr:cNvPr id="12" name="Rectangle: Top Corners One Rounded and One Snipped 11">
          <a:extLst>
            <a:ext uri="{FF2B5EF4-FFF2-40B4-BE49-F238E27FC236}">
              <a16:creationId xmlns:a16="http://schemas.microsoft.com/office/drawing/2014/main" id="{00000000-0008-0000-0100-00000C000000}"/>
            </a:ext>
          </a:extLst>
        </xdr:cNvPr>
        <xdr:cNvSpPr/>
      </xdr:nvSpPr>
      <xdr:spPr>
        <a:xfrm>
          <a:off x="7807037" y="220855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i="1" baseline="0">
              <a:solidFill>
                <a:schemeClr val="lt1"/>
              </a:solidFill>
              <a:latin typeface="+mn-lt"/>
              <a:ea typeface="+mn-ea"/>
              <a:cs typeface="+mn-cs"/>
            </a:rPr>
            <a:t> a pivot based Excel file for Regional level and a company level.</a:t>
          </a:r>
          <a:endParaRPr lang="en-US" sz="1050" i="1">
            <a:solidFill>
              <a:schemeClr val="lt1"/>
            </a:solidFill>
            <a:latin typeface="+mn-lt"/>
            <a:ea typeface="+mn-ea"/>
            <a:cs typeface="+mn-cs"/>
          </a:endParaRPr>
        </a:p>
      </xdr:txBody>
    </xdr:sp>
    <xdr:clientData/>
  </xdr:twoCellAnchor>
  <xdr:twoCellAnchor editAs="oneCell">
    <xdr:from>
      <xdr:col>17</xdr:col>
      <xdr:colOff>158461</xdr:colOff>
      <xdr:row>13</xdr:row>
      <xdr:rowOff>86209</xdr:rowOff>
    </xdr:from>
    <xdr:to>
      <xdr:col>20</xdr:col>
      <xdr:colOff>83126</xdr:colOff>
      <xdr:row>20</xdr:row>
      <xdr:rowOff>104394</xdr:rowOff>
    </xdr:to>
    <xdr:sp macro="" textlink="">
      <xdr:nvSpPr>
        <xdr:cNvPr id="13" name="Rectangle: Top Corners One Rounded and One Snipped 12">
          <a:extLst>
            <a:ext uri="{FF2B5EF4-FFF2-40B4-BE49-F238E27FC236}">
              <a16:creationId xmlns:a16="http://schemas.microsoft.com/office/drawing/2014/main" id="{00000000-0008-0000-0100-00000D000000}"/>
            </a:ext>
          </a:extLst>
        </xdr:cNvPr>
        <xdr:cNvSpPr/>
      </xdr:nvSpPr>
      <xdr:spPr>
        <a:xfrm>
          <a:off x="10521661" y="219123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a:t>
          </a:r>
          <a:endParaRPr lang="en-US" sz="1050">
            <a:solidFill>
              <a:schemeClr val="lt1"/>
            </a:solidFill>
            <a:latin typeface="+mn-lt"/>
            <a:ea typeface="+mn-ea"/>
            <a:cs typeface="+mn-cs"/>
          </a:endParaRPr>
        </a:p>
      </xdr:txBody>
    </xdr:sp>
    <xdr:clientData/>
  </xdr:twoCellAnchor>
  <xdr:twoCellAnchor editAs="oneCell">
    <xdr:from>
      <xdr:col>21</xdr:col>
      <xdr:colOff>86591</xdr:colOff>
      <xdr:row>13</xdr:row>
      <xdr:rowOff>66675</xdr:rowOff>
    </xdr:from>
    <xdr:to>
      <xdr:col>24</xdr:col>
      <xdr:colOff>431222</xdr:colOff>
      <xdr:row>20</xdr:row>
      <xdr:rowOff>85344</xdr:rowOff>
    </xdr:to>
    <xdr:sp macro="" textlink="">
      <xdr:nvSpPr>
        <xdr:cNvPr id="14" name="Rectangle: Top Corners One Rounded and One Snipped 13">
          <a:extLst>
            <a:ext uri="{FF2B5EF4-FFF2-40B4-BE49-F238E27FC236}">
              <a16:creationId xmlns:a16="http://schemas.microsoft.com/office/drawing/2014/main" id="{00000000-0008-0000-0100-00000E000000}"/>
            </a:ext>
          </a:extLst>
        </xdr:cNvPr>
        <xdr:cNvSpPr/>
      </xdr:nvSpPr>
      <xdr:spPr>
        <a:xfrm>
          <a:off x="12888191" y="217170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Admin - opens up the hidden tabs .</a:t>
          </a:r>
          <a:endParaRPr lang="en-US" sz="1050" i="1">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8</xdr:col>
          <xdr:colOff>373380</xdr:colOff>
          <xdr:row>20</xdr:row>
          <xdr:rowOff>60960</xdr:rowOff>
        </xdr:from>
        <xdr:to>
          <xdr:col>11</xdr:col>
          <xdr:colOff>594360</xdr:colOff>
          <xdr:row>22</xdr:row>
          <xdr:rowOff>137160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Import 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20</xdr:row>
          <xdr:rowOff>99060</xdr:rowOff>
        </xdr:from>
        <xdr:to>
          <xdr:col>20</xdr:col>
          <xdr:colOff>76200</xdr:colOff>
          <xdr:row>23</xdr:row>
          <xdr:rowOff>7620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Create CSV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30</xdr:row>
          <xdr:rowOff>45720</xdr:rowOff>
        </xdr:from>
        <xdr:to>
          <xdr:col>24</xdr:col>
          <xdr:colOff>579120</xdr:colOff>
          <xdr:row>31</xdr:row>
          <xdr:rowOff>121920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Clear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495300</xdr:colOff>
          <xdr:row>20</xdr:row>
          <xdr:rowOff>91440</xdr:rowOff>
        </xdr:from>
        <xdr:to>
          <xdr:col>16</xdr:col>
          <xdr:colOff>91440</xdr:colOff>
          <xdr:row>22</xdr:row>
          <xdr:rowOff>144780</xdr:rowOff>
        </xdr:to>
        <xdr:sp macro="" textlink="">
          <xdr:nvSpPr>
            <xdr:cNvPr id="10253" name="CommandButton1" hidden="1">
              <a:extLst>
                <a:ext uri="{63B3BB69-23CF-44E3-9099-C40C66FF867C}">
                  <a14:compatExt spid="_x0000_s10253"/>
                </a:ext>
                <a:ext uri="{FF2B5EF4-FFF2-40B4-BE49-F238E27FC236}">
                  <a16:creationId xmlns:a16="http://schemas.microsoft.com/office/drawing/2014/main" id="{00000000-0008-0000-01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83820</xdr:colOff>
          <xdr:row>20</xdr:row>
          <xdr:rowOff>60960</xdr:rowOff>
        </xdr:from>
        <xdr:to>
          <xdr:col>24</xdr:col>
          <xdr:colOff>434340</xdr:colOff>
          <xdr:row>22</xdr:row>
          <xdr:rowOff>152400</xdr:rowOff>
        </xdr:to>
        <xdr:sp macro="" textlink="">
          <xdr:nvSpPr>
            <xdr:cNvPr id="10254" name="CommandButton2"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637839</xdr:colOff>
      <xdr:row>8</xdr:row>
      <xdr:rowOff>81579</xdr:rowOff>
    </xdr:from>
    <xdr:to>
      <xdr:col>9</xdr:col>
      <xdr:colOff>826546</xdr:colOff>
      <xdr:row>31</xdr:row>
      <xdr:rowOff>33169</xdr:rowOff>
    </xdr:to>
    <xdr:graphicFrame macro="">
      <xdr:nvGraphicFramePr>
        <xdr:cNvPr id="2" name="Chart 1">
          <a:extLst>
            <a:ext uri="{FF2B5EF4-FFF2-40B4-BE49-F238E27FC236}">
              <a16:creationId xmlns:a16="http://schemas.microsoft.com/office/drawing/2014/main" id="{BBD0F53C-C229-465C-8019-4756F6171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xdr:colOff>
          <xdr:row>2</xdr:row>
          <xdr:rowOff>15240</xdr:rowOff>
        </xdr:from>
        <xdr:to>
          <xdr:col>10</xdr:col>
          <xdr:colOff>495300</xdr:colOff>
          <xdr:row>3</xdr:row>
          <xdr:rowOff>160020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Clear 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ki Chen" refreshedDate="44482.321431944445" createdVersion="3" refreshedVersion="7" minRefreshableVersion="3" recordCount="140" xr:uid="{AC6E9FCA-9581-4375-B381-32D99859762A}">
  <cacheSource type="worksheet">
    <worksheetSource ref="A1:N141" sheet="RegionTemp"/>
  </cacheSource>
  <cacheFields count="14">
    <cacheField name="Company" numFmtId="0">
      <sharedItems/>
    </cacheField>
    <cacheField name="Sales Document" numFmtId="0">
      <sharedItems containsSemiMixedTypes="0" containsString="0" containsNumber="1" containsInteger="1" minValue="24030" maxValue="88666"/>
    </cacheField>
    <cacheField name="Document Date" numFmtId="14">
      <sharedItems containsSemiMixedTypes="0" containsNonDate="0" containsDate="1" containsString="0" minDate="2018-10-02T00:00:00" maxDate="2018-10-27T00:00:00"/>
    </cacheField>
    <cacheField name="Customer Code" numFmtId="0">
      <sharedItems containsSemiMixedTypes="0" containsString="0" containsNumber="1" containsInteger="1" minValue="8010" maxValue="8060"/>
    </cacheField>
    <cacheField name="Article code" numFmtId="0">
      <sharedItems containsSemiMixedTypes="0" containsString="0" containsNumber="1" containsInteger="1" minValue="101" maxValue="120"/>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870"/>
    </cacheField>
    <cacheField name="Sales Local Currency" numFmtId="0">
      <sharedItems containsSemiMixedTypes="0" containsString="0" containsNumber="1" containsInteger="1" minValue="100" maxValue="53320"/>
    </cacheField>
    <cacheField name="Company Name" numFmtId="0">
      <sharedItems/>
    </cacheField>
    <cacheField name="Customer Name" numFmtId="0">
      <sharedItems/>
    </cacheField>
    <cacheField name="Article Description" numFmtId="0">
      <sharedItems/>
    </cacheField>
    <cacheField name="Currency" numFmtId="0">
      <sharedItems count="2">
        <s v="EUR"/>
        <s v="USD"/>
      </sharedItems>
    </cacheField>
    <cacheField name="Sales US Dollar" numFmtId="2">
      <sharedItems containsSemiMixedTypes="0" containsString="0" containsNumber="1" minValue="100" maxValue="62647.75"/>
    </cacheField>
    <cacheField name="Reject Rates" numFmtId="10">
      <sharedItems containsSemiMixedTypes="0" containsString="0" containsNumber="1" minValue="0" maxValue="9.8039215686274508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ki Chen" refreshedDate="44482.321432291668" createdVersion="3" refreshedVersion="7" minRefreshableVersion="3" recordCount="140" xr:uid="{DE25C73A-DCF8-4664-A7FB-AC5CF80CF434}">
  <cacheSource type="worksheet">
    <worksheetSource ref="A1:N141" sheet="RegionTemp"/>
  </cacheSource>
  <cacheFields count="14">
    <cacheField name="Company" numFmtId="0">
      <sharedItems/>
    </cacheField>
    <cacheField name="Sales Document" numFmtId="0">
      <sharedItems containsSemiMixedTypes="0" containsString="0" containsNumber="1" containsInteger="1" minValue="24030" maxValue="88666"/>
    </cacheField>
    <cacheField name="Document Date" numFmtId="14">
      <sharedItems containsSemiMixedTypes="0" containsNonDate="0" containsDate="1" containsString="0" minDate="2018-10-02T00:00:00" maxDate="2018-10-27T00:00:00"/>
    </cacheField>
    <cacheField name="Customer Code" numFmtId="0">
      <sharedItems containsSemiMixedTypes="0" containsString="0" containsNumber="1" containsInteger="1" minValue="8010" maxValue="8060"/>
    </cacheField>
    <cacheField name="Article code" numFmtId="0">
      <sharedItems containsSemiMixedTypes="0" containsString="0" containsNumber="1" containsInteger="1" minValue="101" maxValue="120"/>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870"/>
    </cacheField>
    <cacheField name="Sales Local Currency" numFmtId="0">
      <sharedItems containsSemiMixedTypes="0" containsString="0" containsNumber="1" containsInteger="1" minValue="100" maxValue="53320"/>
    </cacheField>
    <cacheField name="Company Name" numFmtId="0">
      <sharedItems count="4">
        <s v="Bere Kleid"/>
        <s v="Lucas Basics"/>
        <s v="Meta Creations"/>
        <s v="Urban Right"/>
      </sharedItems>
    </cacheField>
    <cacheField name="Customer Name" numFmtId="0">
      <sharedItems/>
    </cacheField>
    <cacheField name="Article Description" numFmtId="0">
      <sharedItems/>
    </cacheField>
    <cacheField name="Currency" numFmtId="0">
      <sharedItems count="2">
        <s v="EUR"/>
        <s v="USD"/>
      </sharedItems>
    </cacheField>
    <cacheField name="Sales US Dollar" numFmtId="2">
      <sharedItems containsSemiMixedTypes="0" containsString="0" containsNumber="1" minValue="100" maxValue="62647.75"/>
    </cacheField>
    <cacheField name="Reject Rates" numFmtId="10">
      <sharedItems containsSemiMixedTypes="0" containsString="0" containsNumber="1" minValue="0" maxValue="9.8039215686274508E-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ki Chen" refreshedDate="44482.321432523146" createdVersion="3" refreshedVersion="7" minRefreshableVersion="3" recordCount="140" xr:uid="{50A5755A-39E0-4542-8574-27047F11CDAB}">
  <cacheSource type="worksheet">
    <worksheetSource ref="A1:N141" sheet="RegionTemp"/>
  </cacheSource>
  <cacheFields count="14">
    <cacheField name="Company" numFmtId="0">
      <sharedItems/>
    </cacheField>
    <cacheField name="Sales Document" numFmtId="0">
      <sharedItems containsSemiMixedTypes="0" containsString="0" containsNumber="1" containsInteger="1" minValue="24030" maxValue="88666"/>
    </cacheField>
    <cacheField name="Document Date" numFmtId="14">
      <sharedItems containsSemiMixedTypes="0" containsNonDate="0" containsDate="1" containsString="0" minDate="2018-10-02T00:00:00" maxDate="2018-10-27T00:00:00"/>
    </cacheField>
    <cacheField name="Customer Code" numFmtId="0">
      <sharedItems containsSemiMixedTypes="0" containsString="0" containsNumber="1" containsInteger="1" minValue="8010" maxValue="8060"/>
    </cacheField>
    <cacheField name="Article code" numFmtId="0">
      <sharedItems containsSemiMixedTypes="0" containsString="0" containsNumber="1" containsInteger="1" minValue="101" maxValue="120"/>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870"/>
    </cacheField>
    <cacheField name="Sales Local Currency" numFmtId="0">
      <sharedItems containsSemiMixedTypes="0" containsString="0" containsNumber="1" containsInteger="1" minValue="100" maxValue="53320"/>
    </cacheField>
    <cacheField name="Company Name" numFmtId="0">
      <sharedItems count="4">
        <s v="Bere Kleid"/>
        <s v="Lucas Basics"/>
        <s v="Meta Creations"/>
        <s v="Urban Right"/>
      </sharedItems>
    </cacheField>
    <cacheField name="Customer Name" numFmtId="0">
      <sharedItems/>
    </cacheField>
    <cacheField name="Article Description" numFmtId="0">
      <sharedItems/>
    </cacheField>
    <cacheField name="Currency" numFmtId="0">
      <sharedItems count="2">
        <s v="EUR"/>
        <s v="USD"/>
      </sharedItems>
    </cacheField>
    <cacheField name="Sales US Dollar" numFmtId="2">
      <sharedItems containsSemiMixedTypes="0" containsString="0" containsNumber="1" minValue="100" maxValue="62647.75"/>
    </cacheField>
    <cacheField name="Reject Rates" numFmtId="10">
      <sharedItems containsSemiMixedTypes="0" containsString="0" containsNumber="1" minValue="0" maxValue="9.8039215686274508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ki Chen" refreshedDate="44482.321432870369" createdVersion="3" refreshedVersion="7" minRefreshableVersion="3" recordCount="140" xr:uid="{CEA45971-FFB1-420E-92AA-97A051BAB908}">
  <cacheSource type="worksheet">
    <worksheetSource ref="A1:N141" sheet="RegionTemp"/>
  </cacheSource>
  <cacheFields count="14">
    <cacheField name="Company" numFmtId="0">
      <sharedItems/>
    </cacheField>
    <cacheField name="Sales Document" numFmtId="0">
      <sharedItems containsSemiMixedTypes="0" containsString="0" containsNumber="1" containsInteger="1" minValue="24030" maxValue="88666"/>
    </cacheField>
    <cacheField name="Document Date" numFmtId="14">
      <sharedItems containsSemiMixedTypes="0" containsNonDate="0" containsDate="1" containsString="0" minDate="2018-10-02T00:00:00" maxDate="2018-10-27T00:00:00"/>
    </cacheField>
    <cacheField name="Customer Code" numFmtId="0">
      <sharedItems containsSemiMixedTypes="0" containsString="0" containsNumber="1" containsInteger="1" minValue="8010" maxValue="8060"/>
    </cacheField>
    <cacheField name="Article code" numFmtId="0">
      <sharedItems containsSemiMixedTypes="0" containsString="0" containsNumber="1" containsInteger="1" minValue="101" maxValue="120"/>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870"/>
    </cacheField>
    <cacheField name="Sales Local Currency" numFmtId="0">
      <sharedItems containsSemiMixedTypes="0" containsString="0" containsNumber="1" containsInteger="1" minValue="100" maxValue="53320"/>
    </cacheField>
    <cacheField name="Company Name" numFmtId="0">
      <sharedItems count="4">
        <s v="Bere Kleid"/>
        <s v="Lucas Basics"/>
        <s v="Meta Creations"/>
        <s v="Urban Right"/>
      </sharedItems>
    </cacheField>
    <cacheField name="Customer Name" numFmtId="0">
      <sharedItems/>
    </cacheField>
    <cacheField name="Article Description" numFmtId="0">
      <sharedItems/>
    </cacheField>
    <cacheField name="Currency" numFmtId="0">
      <sharedItems count="2">
        <s v="EUR"/>
        <s v="USD"/>
      </sharedItems>
    </cacheField>
    <cacheField name="Sales US Dollar" numFmtId="2">
      <sharedItems containsSemiMixedTypes="0" containsString="0" containsNumber="1" minValue="100" maxValue="62647.75"/>
    </cacheField>
    <cacheField name="Reject Rates" numFmtId="10">
      <sharedItems containsSemiMixedTypes="0" containsString="0" containsNumber="1" minValue="0" maxValue="9.8039215686274508E-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1030AT"/>
    <n v="84030"/>
    <d v="2018-10-07T00:00:00"/>
    <n v="8050"/>
    <n v="120"/>
    <s v=""/>
    <n v="120"/>
    <n v="6960"/>
    <s v="Bere Kleid"/>
    <s v="Aida GmbH"/>
    <s v="Women evening dress Cocktail red"/>
    <x v="0"/>
    <n v="8177.58"/>
    <n v="0"/>
  </r>
  <r>
    <s v="1030AT"/>
    <n v="84030"/>
    <d v="2018-10-07T00:00:00"/>
    <n v="8050"/>
    <n v="104"/>
    <n v="1"/>
    <n v="430"/>
    <n v="5160"/>
    <s v="Bere Kleid"/>
    <s v="Aida GmbH"/>
    <s v="Women type T simple black"/>
    <x v="0"/>
    <n v="6062.69"/>
    <n v="1.6339869281045751E-4"/>
  </r>
  <r>
    <s v="1030AT"/>
    <n v="84030"/>
    <d v="2018-10-07T00:00:00"/>
    <n v="8050"/>
    <n v="105"/>
    <s v=""/>
    <n v="120"/>
    <n v="1200"/>
    <s v="Bere Kleid"/>
    <s v="Aida GmbH"/>
    <s v="Women crop top black"/>
    <x v="0"/>
    <n v="1409.93"/>
    <n v="0"/>
  </r>
  <r>
    <s v="1030AT"/>
    <n v="84030"/>
    <d v="2018-10-07T00:00:00"/>
    <n v="8050"/>
    <n v="107"/>
    <n v="1"/>
    <n v="690"/>
    <n v="3450"/>
    <s v="Bere Kleid"/>
    <s v="Aida GmbH"/>
    <s v="Women basics"/>
    <x v="0"/>
    <n v="4053.54"/>
    <n v="1.6339869281045751E-4"/>
  </r>
  <r>
    <s v="1030AT"/>
    <n v="84031"/>
    <d v="2018-10-08T00:00:00"/>
    <n v="8040"/>
    <n v="104"/>
    <s v=""/>
    <n v="870"/>
    <n v="10440"/>
    <s v="Bere Kleid"/>
    <s v="Werner Strauss"/>
    <s v="Women type T simple black"/>
    <x v="0"/>
    <n v="12266.36"/>
    <n v="0"/>
  </r>
  <r>
    <s v="1030AT"/>
    <n v="84031"/>
    <d v="2018-10-08T00:00:00"/>
    <n v="8040"/>
    <n v="107"/>
    <s v=""/>
    <n v="760"/>
    <n v="3800"/>
    <s v="Bere Kleid"/>
    <s v="Werner Strauss"/>
    <s v="Women basics"/>
    <x v="0"/>
    <n v="4464.7700000000004"/>
    <n v="0"/>
  </r>
  <r>
    <s v="1030AT"/>
    <n v="84031"/>
    <d v="2018-10-08T00:00:00"/>
    <n v="8040"/>
    <n v="110"/>
    <n v="2"/>
    <n v="500"/>
    <n v="30000"/>
    <s v="Bere Kleid"/>
    <s v="Werner Strauss"/>
    <s v="Smartphone case diamond"/>
    <x v="0"/>
    <n v="35248.17"/>
    <n v="3.2679738562091501E-4"/>
  </r>
  <r>
    <s v="1030AT"/>
    <n v="88112"/>
    <d v="2018-10-11T00:00:00"/>
    <n v="8040"/>
    <n v="110"/>
    <m/>
    <n v="480"/>
    <n v="28800"/>
    <s v="Bere Kleid"/>
    <s v="Werner Strauss"/>
    <s v="Smartphone case diamond"/>
    <x v="0"/>
    <n v="33838.239999999998"/>
    <n v="0"/>
  </r>
  <r>
    <s v="1030AT"/>
    <n v="88112"/>
    <d v="2018-10-11T00:00:00"/>
    <n v="8040"/>
    <n v="119"/>
    <s v=""/>
    <n v="630"/>
    <n v="39060"/>
    <s v="Bere Kleid"/>
    <s v="Werner Strauss"/>
    <s v="Women evening dress long black"/>
    <x v="0"/>
    <n v="45893.120000000003"/>
    <n v="0"/>
  </r>
  <r>
    <s v="1030AT"/>
    <n v="88112"/>
    <d v="2018-10-11T00:00:00"/>
    <n v="8040"/>
    <n v="120"/>
    <m/>
    <n v="150"/>
    <n v="8700"/>
    <s v="Bere Kleid"/>
    <s v="Werner Strauss"/>
    <s v="Women evening dress Cocktail red"/>
    <x v="0"/>
    <n v="10221.969999999999"/>
    <n v="0"/>
  </r>
  <r>
    <s v="1030AT"/>
    <n v="88112"/>
    <d v="2018-10-11T00:00:00"/>
    <n v="8040"/>
    <n v="116"/>
    <n v="4"/>
    <n v="760"/>
    <n v="4560"/>
    <s v="Bere Kleid"/>
    <s v="Werner Strauss"/>
    <s v="Unisex tank top white"/>
    <x v="0"/>
    <n v="5357.72"/>
    <n v="6.5359477124183002E-4"/>
  </r>
  <r>
    <s v="1030AT"/>
    <n v="88112"/>
    <d v="2018-10-11T00:00:00"/>
    <n v="8040"/>
    <n v="111"/>
    <m/>
    <n v="590"/>
    <n v="11800"/>
    <s v="Bere Kleid"/>
    <s v="Werner Strauss"/>
    <s v="Smartphone case simple"/>
    <x v="0"/>
    <n v="13864.28"/>
    <n v="0"/>
  </r>
  <r>
    <s v="1030AT"/>
    <n v="88112"/>
    <d v="2018-10-11T00:00:00"/>
    <n v="8040"/>
    <n v="110"/>
    <m/>
    <n v="530"/>
    <n v="31800"/>
    <s v="Bere Kleid"/>
    <s v="Werner Strauss"/>
    <s v="Smartphone case diamond"/>
    <x v="0"/>
    <n v="37363.06"/>
    <n v="0"/>
  </r>
  <r>
    <s v="1030AT"/>
    <n v="88112"/>
    <d v="2018-10-11T00:00:00"/>
    <n v="8040"/>
    <n v="109"/>
    <m/>
    <n v="260"/>
    <n v="7280"/>
    <s v="Bere Kleid"/>
    <s v="Werner Strauss"/>
    <s v="Laptop bag red"/>
    <x v="0"/>
    <n v="8553.56"/>
    <n v="0"/>
  </r>
  <r>
    <s v="1030AT"/>
    <n v="85442"/>
    <d v="2018-10-15T00:00:00"/>
    <n v="8050"/>
    <n v="107"/>
    <m/>
    <n v="270"/>
    <n v="1350"/>
    <s v="Bere Kleid"/>
    <s v="Aida GmbH"/>
    <s v="Women basics"/>
    <x v="0"/>
    <n v="1586.17"/>
    <n v="0"/>
  </r>
  <r>
    <s v="1030AT"/>
    <n v="85442"/>
    <d v="2018-10-15T00:00:00"/>
    <n v="8050"/>
    <n v="103"/>
    <m/>
    <n v="630"/>
    <n v="7560"/>
    <s v="Bere Kleid"/>
    <s v="Aida GmbH"/>
    <s v="Women type T simple white"/>
    <x v="0"/>
    <n v="8882.5400000000009"/>
    <n v="0"/>
  </r>
  <r>
    <s v="1030AT"/>
    <n v="85442"/>
    <d v="2018-10-15T00:00:00"/>
    <n v="8050"/>
    <n v="104"/>
    <m/>
    <n v="440"/>
    <n v="5280"/>
    <s v="Bere Kleid"/>
    <s v="Aida GmbH"/>
    <s v="Women type T simple black"/>
    <x v="0"/>
    <n v="6203.68"/>
    <n v="0"/>
  </r>
  <r>
    <s v="1030AT"/>
    <n v="85442"/>
    <d v="2018-10-15T00:00:00"/>
    <n v="8050"/>
    <n v="120"/>
    <m/>
    <n v="500"/>
    <n v="29000"/>
    <s v="Bere Kleid"/>
    <s v="Aida GmbH"/>
    <s v="Women evening dress Cocktail red"/>
    <x v="0"/>
    <n v="34073.230000000003"/>
    <n v="0"/>
  </r>
  <r>
    <s v="1030AT"/>
    <n v="85442"/>
    <d v="2018-10-15T00:00:00"/>
    <n v="8050"/>
    <n v="119"/>
    <n v="1"/>
    <n v="360"/>
    <n v="22320"/>
    <s v="Bere Kleid"/>
    <s v="Aida GmbH"/>
    <s v="Women evening dress long black"/>
    <x v="0"/>
    <n v="26224.639999999999"/>
    <n v="1.6339869281045751E-4"/>
  </r>
  <r>
    <s v="1030AT"/>
    <n v="85442"/>
    <d v="2018-10-15T00:00:00"/>
    <n v="8050"/>
    <n v="115"/>
    <m/>
    <n v="810"/>
    <n v="4860"/>
    <s v="Bere Kleid"/>
    <s v="Aida GmbH"/>
    <s v="Unisex tank top black"/>
    <x v="0"/>
    <n v="5710.2"/>
    <n v="0"/>
  </r>
  <r>
    <s v="1030AT"/>
    <n v="85442"/>
    <d v="2018-10-15T00:00:00"/>
    <n v="8050"/>
    <n v="108"/>
    <m/>
    <n v="800"/>
    <n v="22400"/>
    <s v="Bere Kleid"/>
    <s v="Aida GmbH"/>
    <s v="Laptop bag black"/>
    <x v="0"/>
    <n v="26318.63"/>
    <n v="0"/>
  </r>
  <r>
    <s v="1030AT"/>
    <n v="88588"/>
    <d v="2018-10-15T00:00:00"/>
    <n v="8040"/>
    <n v="120"/>
    <m/>
    <n v="470"/>
    <n v="27260"/>
    <s v="Bere Kleid"/>
    <s v="Werner Strauss"/>
    <s v="Women evening dress Cocktail red"/>
    <x v="0"/>
    <n v="32028.84"/>
    <n v="0"/>
  </r>
  <r>
    <s v="1030AT"/>
    <n v="88588"/>
    <d v="2018-10-15T00:00:00"/>
    <n v="8040"/>
    <n v="119"/>
    <m/>
    <n v="860"/>
    <n v="53320"/>
    <s v="Bere Kleid"/>
    <s v="Werner Strauss"/>
    <s v="Women evening dress long black"/>
    <x v="0"/>
    <n v="62647.75"/>
    <n v="0"/>
  </r>
  <r>
    <s v="1030AT"/>
    <n v="88588"/>
    <d v="2018-10-15T00:00:00"/>
    <n v="8040"/>
    <n v="110"/>
    <m/>
    <n v="180"/>
    <n v="10800"/>
    <s v="Bere Kleid"/>
    <s v="Werner Strauss"/>
    <s v="Smartphone case diamond"/>
    <x v="0"/>
    <n v="12689.34"/>
    <n v="0"/>
  </r>
  <r>
    <s v="1030AT"/>
    <n v="88588"/>
    <d v="2018-10-15T00:00:00"/>
    <n v="8040"/>
    <n v="111"/>
    <m/>
    <n v="750"/>
    <n v="15000"/>
    <s v="Bere Kleid"/>
    <s v="Werner Strauss"/>
    <s v="Smartphone case simple"/>
    <x v="0"/>
    <n v="17624.09"/>
    <n v="0"/>
  </r>
  <r>
    <s v="1030AT"/>
    <n v="88588"/>
    <d v="2018-10-15T00:00:00"/>
    <n v="8040"/>
    <n v="109"/>
    <m/>
    <n v="560"/>
    <n v="15680"/>
    <s v="Bere Kleid"/>
    <s v="Werner Strauss"/>
    <s v="Laptop bag red"/>
    <x v="0"/>
    <n v="18423.04"/>
    <n v="0"/>
  </r>
  <r>
    <s v="1030AT"/>
    <n v="88588"/>
    <d v="2018-10-15T00:00:00"/>
    <n v="8040"/>
    <n v="105"/>
    <m/>
    <n v="130"/>
    <n v="1300"/>
    <s v="Bere Kleid"/>
    <s v="Werner Strauss"/>
    <s v="Women crop top black"/>
    <x v="0"/>
    <n v="1527.42"/>
    <n v="0"/>
  </r>
  <r>
    <s v="1030AT"/>
    <n v="88588"/>
    <d v="2018-10-15T00:00:00"/>
    <n v="8040"/>
    <n v="103"/>
    <m/>
    <n v="110"/>
    <n v="1320"/>
    <s v="Bere Kleid"/>
    <s v="Werner Strauss"/>
    <s v="Women type T simple white"/>
    <x v="0"/>
    <n v="1550.92"/>
    <n v="0"/>
  </r>
  <r>
    <s v="1030AT"/>
    <n v="88544"/>
    <d v="2018-10-22T00:00:00"/>
    <n v="8040"/>
    <n v="107"/>
    <m/>
    <n v="770"/>
    <n v="3850"/>
    <s v="Bere Kleid"/>
    <s v="Werner Strauss"/>
    <s v="Women basics"/>
    <x v="0"/>
    <n v="4523.5200000000004"/>
    <n v="0"/>
  </r>
  <r>
    <s v="1030AT"/>
    <n v="88544"/>
    <d v="2018-10-22T00:00:00"/>
    <n v="8040"/>
    <n v="120"/>
    <m/>
    <n v="300"/>
    <n v="17400"/>
    <s v="Bere Kleid"/>
    <s v="Werner Strauss"/>
    <s v="Women evening dress Cocktail red"/>
    <x v="0"/>
    <n v="20443.939999999999"/>
    <n v="0"/>
  </r>
  <r>
    <s v="1030AT"/>
    <n v="88666"/>
    <d v="2018-10-26T00:00:00"/>
    <n v="8030"/>
    <n v="119"/>
    <m/>
    <n v="330"/>
    <n v="20460"/>
    <s v="Bere Kleid"/>
    <s v="Edson"/>
    <s v="Women evening dress long black"/>
    <x v="0"/>
    <n v="24039.25"/>
    <n v="0"/>
  </r>
  <r>
    <s v="1030AT"/>
    <n v="88666"/>
    <d v="2018-10-26T00:00:00"/>
    <n v="8030"/>
    <n v="107"/>
    <m/>
    <n v="460"/>
    <n v="2300"/>
    <s v="Bere Kleid"/>
    <s v="Edson"/>
    <s v="Women basics"/>
    <x v="0"/>
    <n v="2702.36"/>
    <n v="0"/>
  </r>
  <r>
    <s v="1030AT"/>
    <n v="88666"/>
    <d v="2018-10-26T00:00:00"/>
    <n v="8030"/>
    <n v="105"/>
    <n v="1"/>
    <n v="470"/>
    <n v="4700"/>
    <s v="Bere Kleid"/>
    <s v="Edson"/>
    <s v="Women crop top black"/>
    <x v="0"/>
    <n v="5522.21"/>
    <n v="1.6339869281045751E-4"/>
  </r>
  <r>
    <s v="1030AT"/>
    <n v="88666"/>
    <d v="2018-10-26T00:00:00"/>
    <n v="8030"/>
    <n v="115"/>
    <m/>
    <n v="390"/>
    <n v="2340"/>
    <s v="Bere Kleid"/>
    <s v="Edson"/>
    <s v="Unisex tank top black"/>
    <x v="0"/>
    <n v="2749.36"/>
    <n v="0"/>
  </r>
  <r>
    <s v="1030AT"/>
    <n v="88666"/>
    <d v="2018-10-26T00:00:00"/>
    <n v="8030"/>
    <n v="116"/>
    <m/>
    <n v="260"/>
    <n v="1560"/>
    <s v="Bere Kleid"/>
    <s v="Edson"/>
    <s v="Unisex tank top white"/>
    <x v="0"/>
    <n v="1832.9"/>
    <n v="0"/>
  </r>
  <r>
    <s v="1040DE"/>
    <n v="44030"/>
    <d v="2018-10-04T00:00:00"/>
    <n v="8060"/>
    <n v="108"/>
    <s v=""/>
    <n v="60"/>
    <n v="1680"/>
    <s v="Lucas Basics"/>
    <s v="Liebher"/>
    <s v="Laptop bag black"/>
    <x v="0"/>
    <n v="1973.9"/>
    <n v="0"/>
  </r>
  <r>
    <s v="1040DE"/>
    <n v="44030"/>
    <d v="2018-10-04T00:00:00"/>
    <n v="8060"/>
    <n v="109"/>
    <n v="1"/>
    <n v="60"/>
    <n v="1680"/>
    <s v="Lucas Basics"/>
    <s v="Liebher"/>
    <s v="Laptop bag red"/>
    <x v="0"/>
    <n v="1973.9"/>
    <n v="1.6339869281045751E-4"/>
  </r>
  <r>
    <s v="1040DE"/>
    <n v="44032"/>
    <d v="2018-10-07T00:00:00"/>
    <n v="8060"/>
    <n v="108"/>
    <s v=""/>
    <n v="60"/>
    <n v="1680"/>
    <s v="Lucas Basics"/>
    <s v="Liebher"/>
    <s v="Laptop bag black"/>
    <x v="0"/>
    <n v="1973.9"/>
    <n v="0"/>
  </r>
  <r>
    <s v="1040DE"/>
    <n v="44032"/>
    <d v="2018-10-07T00:00:00"/>
    <n v="8060"/>
    <n v="109"/>
    <m/>
    <n v="70"/>
    <n v="1960"/>
    <s v="Lucas Basics"/>
    <s v="Liebher"/>
    <s v="Laptop bag red"/>
    <x v="0"/>
    <n v="2302.88"/>
    <n v="0"/>
  </r>
  <r>
    <s v="1040DE"/>
    <n v="44031"/>
    <d v="2018-10-08T00:00:00"/>
    <n v="8050"/>
    <n v="108"/>
    <s v=""/>
    <n v="60"/>
    <n v="1680"/>
    <s v="Lucas Basics"/>
    <s v="Aida GmbH"/>
    <s v="Laptop bag black"/>
    <x v="0"/>
    <n v="1973.9"/>
    <n v="0"/>
  </r>
  <r>
    <s v="1040DE"/>
    <n v="44031"/>
    <d v="2018-10-08T00:00:00"/>
    <n v="8050"/>
    <n v="109"/>
    <s v=""/>
    <n v="50"/>
    <n v="1400"/>
    <s v="Lucas Basics"/>
    <s v="Aida GmbH"/>
    <s v="Laptop bag red"/>
    <x v="0"/>
    <n v="1644.91"/>
    <n v="0"/>
  </r>
  <r>
    <s v="1040DE"/>
    <n v="44031"/>
    <d v="2018-10-08T00:00:00"/>
    <n v="8050"/>
    <n v="110"/>
    <s v=""/>
    <n v="60"/>
    <n v="3600"/>
    <s v="Lucas Basics"/>
    <s v="Aida GmbH"/>
    <s v="Smartphone case diamond"/>
    <x v="0"/>
    <n v="4229.78"/>
    <n v="0"/>
  </r>
  <r>
    <s v="1040DE"/>
    <n v="48112"/>
    <d v="2018-10-11T00:00:00"/>
    <n v="8060"/>
    <n v="109"/>
    <m/>
    <n v="60"/>
    <n v="1680"/>
    <s v="Lucas Basics"/>
    <s v="Liebher"/>
    <s v="Laptop bag red"/>
    <x v="0"/>
    <n v="1973.9"/>
    <n v="0"/>
  </r>
  <r>
    <s v="1040DE"/>
    <n v="48112"/>
    <d v="2018-10-11T00:00:00"/>
    <n v="8060"/>
    <n v="110"/>
    <s v=""/>
    <n v="50"/>
    <n v="3000"/>
    <s v="Lucas Basics"/>
    <s v="Liebher"/>
    <s v="Smartphone case diamond"/>
    <x v="0"/>
    <n v="3524.82"/>
    <n v="0"/>
  </r>
  <r>
    <s v="1040DE"/>
    <n v="48114"/>
    <d v="2018-10-11T00:00:00"/>
    <n v="8050"/>
    <n v="109"/>
    <m/>
    <n v="60"/>
    <n v="1680"/>
    <s v="Lucas Basics"/>
    <s v="Aida GmbH"/>
    <s v="Laptop bag red"/>
    <x v="0"/>
    <n v="1973.9"/>
    <n v="0"/>
  </r>
  <r>
    <s v="1040DE"/>
    <n v="48114"/>
    <d v="2018-10-11T00:00:00"/>
    <n v="8050"/>
    <n v="110"/>
    <m/>
    <n v="60"/>
    <n v="3600"/>
    <s v="Lucas Basics"/>
    <s v="Aida GmbH"/>
    <s v="Smartphone case diamond"/>
    <x v="0"/>
    <n v="4229.78"/>
    <n v="0"/>
  </r>
  <r>
    <s v="1040DE"/>
    <n v="48114"/>
    <d v="2018-10-11T00:00:00"/>
    <n v="8050"/>
    <n v="111"/>
    <m/>
    <n v="80"/>
    <n v="1600"/>
    <s v="Lucas Basics"/>
    <s v="Aida GmbH"/>
    <s v="Smartphone case simple"/>
    <x v="0"/>
    <n v="1879.9"/>
    <n v="0"/>
  </r>
  <r>
    <s v="1040DE"/>
    <n v="48116"/>
    <d v="2018-10-11T00:00:00"/>
    <n v="8060"/>
    <n v="109"/>
    <m/>
    <n v="60"/>
    <n v="1680"/>
    <s v="Lucas Basics"/>
    <s v="Liebher"/>
    <s v="Laptop bag red"/>
    <x v="0"/>
    <n v="1973.9"/>
    <n v="0"/>
  </r>
  <r>
    <s v="1040DE"/>
    <n v="48116"/>
    <d v="2018-10-11T00:00:00"/>
    <n v="8060"/>
    <n v="110"/>
    <m/>
    <n v="60"/>
    <n v="3600"/>
    <s v="Lucas Basics"/>
    <s v="Liebher"/>
    <s v="Smartphone case diamond"/>
    <x v="0"/>
    <n v="4229.78"/>
    <n v="0"/>
  </r>
  <r>
    <s v="1040DE"/>
    <n v="45442"/>
    <d v="2018-10-15T00:00:00"/>
    <n v="8050"/>
    <n v="108"/>
    <m/>
    <n v="50"/>
    <n v="1400"/>
    <s v="Lucas Basics"/>
    <s v="Aida GmbH"/>
    <s v="Laptop bag black"/>
    <x v="0"/>
    <n v="1644.91"/>
    <n v="0"/>
  </r>
  <r>
    <s v="1040DE"/>
    <n v="45442"/>
    <d v="2018-10-15T00:00:00"/>
    <n v="8050"/>
    <n v="109"/>
    <n v="1"/>
    <n v="60"/>
    <n v="1680"/>
    <s v="Lucas Basics"/>
    <s v="Aida GmbH"/>
    <s v="Laptop bag red"/>
    <x v="0"/>
    <n v="1973.9"/>
    <n v="1.6339869281045751E-4"/>
  </r>
  <r>
    <s v="1040DE"/>
    <n v="45444"/>
    <d v="2018-10-15T00:00:00"/>
    <n v="8060"/>
    <n v="108"/>
    <m/>
    <n v="60"/>
    <n v="1680"/>
    <s v="Lucas Basics"/>
    <s v="Liebher"/>
    <s v="Laptop bag black"/>
    <x v="0"/>
    <n v="1973.9"/>
    <n v="0"/>
  </r>
  <r>
    <s v="1040DE"/>
    <n v="45444"/>
    <d v="2018-10-15T00:00:00"/>
    <n v="8060"/>
    <n v="109"/>
    <m/>
    <n v="70"/>
    <n v="1960"/>
    <s v="Lucas Basics"/>
    <s v="Liebher"/>
    <s v="Laptop bag red"/>
    <x v="0"/>
    <n v="2302.88"/>
    <n v="0"/>
  </r>
  <r>
    <s v="1040DE"/>
    <n v="45444"/>
    <d v="2018-10-15T00:00:00"/>
    <n v="8060"/>
    <n v="110"/>
    <m/>
    <n v="60"/>
    <n v="3600"/>
    <s v="Lucas Basics"/>
    <s v="Liebher"/>
    <s v="Smartphone case diamond"/>
    <x v="0"/>
    <n v="4229.78"/>
    <n v="0"/>
  </r>
  <r>
    <s v="1040DE"/>
    <n v="45446"/>
    <d v="2018-10-15T00:00:00"/>
    <n v="8050"/>
    <n v="111"/>
    <m/>
    <n v="80"/>
    <n v="1600"/>
    <s v="Lucas Basics"/>
    <s v="Aida GmbH"/>
    <s v="Smartphone case simple"/>
    <x v="0"/>
    <n v="1879.9"/>
    <n v="0"/>
  </r>
  <r>
    <s v="1040DE"/>
    <n v="45446"/>
    <d v="2018-10-15T00:00:00"/>
    <n v="8050"/>
    <n v="108"/>
    <m/>
    <n v="50"/>
    <n v="1400"/>
    <s v="Lucas Basics"/>
    <s v="Aida GmbH"/>
    <s v="Laptop bag black"/>
    <x v="0"/>
    <n v="1644.91"/>
    <n v="0"/>
  </r>
  <r>
    <s v="1040DE"/>
    <n v="44015"/>
    <d v="2018-10-10T00:00:00"/>
    <n v="8060"/>
    <n v="108"/>
    <m/>
    <n v="60"/>
    <n v="1680"/>
    <s v="Lucas Basics"/>
    <s v="Liebher"/>
    <s v="Laptop bag black"/>
    <x v="0"/>
    <n v="1973.9"/>
    <n v="0"/>
  </r>
  <r>
    <s v="1040DE"/>
    <n v="44015"/>
    <d v="2018-10-10T00:00:00"/>
    <n v="8060"/>
    <n v="109"/>
    <m/>
    <n v="70"/>
    <n v="1960"/>
    <s v="Lucas Basics"/>
    <s v="Liebher"/>
    <s v="Laptop bag red"/>
    <x v="0"/>
    <n v="2302.88"/>
    <n v="0"/>
  </r>
  <r>
    <s v="1040DE"/>
    <n v="44017"/>
    <d v="2018-10-13T00:00:00"/>
    <n v="8060"/>
    <n v="108"/>
    <m/>
    <n v="70"/>
    <n v="1960"/>
    <s v="Lucas Basics"/>
    <s v="Liebher"/>
    <s v="Laptop bag black"/>
    <x v="0"/>
    <n v="2302.88"/>
    <n v="0"/>
  </r>
  <r>
    <s v="1040DE"/>
    <n v="44017"/>
    <d v="2018-10-13T00:00:00"/>
    <n v="8060"/>
    <n v="109"/>
    <m/>
    <n v="70"/>
    <n v="1960"/>
    <s v="Lucas Basics"/>
    <s v="Liebher"/>
    <s v="Laptop bag red"/>
    <x v="0"/>
    <n v="2302.88"/>
    <n v="0"/>
  </r>
  <r>
    <s v="1040DE"/>
    <n v="44016"/>
    <d v="2018-10-14T00:00:00"/>
    <n v="8050"/>
    <n v="108"/>
    <m/>
    <n v="70"/>
    <n v="1960"/>
    <s v="Lucas Basics"/>
    <s v="Aida GmbH"/>
    <s v="Laptop bag black"/>
    <x v="0"/>
    <n v="2302.88"/>
    <n v="0"/>
  </r>
  <r>
    <s v="1040DE"/>
    <n v="44016"/>
    <d v="2018-10-14T00:00:00"/>
    <n v="8050"/>
    <n v="109"/>
    <n v="1"/>
    <n v="60"/>
    <n v="1680"/>
    <s v="Lucas Basics"/>
    <s v="Aida GmbH"/>
    <s v="Laptop bag red"/>
    <x v="0"/>
    <n v="1973.9"/>
    <n v="1.6339869281045751E-4"/>
  </r>
  <r>
    <s v="1040DE"/>
    <n v="44016"/>
    <d v="2018-10-14T00:00:00"/>
    <n v="8050"/>
    <n v="110"/>
    <m/>
    <n v="50"/>
    <n v="3000"/>
    <s v="Lucas Basics"/>
    <s v="Aida GmbH"/>
    <s v="Smartphone case diamond"/>
    <x v="0"/>
    <n v="3524.82"/>
    <n v="0"/>
  </r>
  <r>
    <s v="1040DE"/>
    <n v="48097"/>
    <d v="2018-10-17T00:00:00"/>
    <n v="8060"/>
    <n v="109"/>
    <m/>
    <n v="60"/>
    <n v="1680"/>
    <s v="Lucas Basics"/>
    <s v="Liebher"/>
    <s v="Laptop bag red"/>
    <x v="0"/>
    <n v="1973.9"/>
    <n v="0"/>
  </r>
  <r>
    <s v="1040DE"/>
    <n v="48097"/>
    <d v="2018-10-17T00:00:00"/>
    <n v="8060"/>
    <n v="110"/>
    <m/>
    <n v="70"/>
    <n v="4200"/>
    <s v="Lucas Basics"/>
    <s v="Liebher"/>
    <s v="Smartphone case diamond"/>
    <x v="0"/>
    <n v="4934.74"/>
    <n v="0"/>
  </r>
  <r>
    <s v="1040DE"/>
    <n v="48099"/>
    <d v="2018-10-17T00:00:00"/>
    <n v="8050"/>
    <n v="109"/>
    <n v="1"/>
    <n v="60"/>
    <n v="1680"/>
    <s v="Lucas Basics"/>
    <s v="Aida GmbH"/>
    <s v="Laptop bag red"/>
    <x v="0"/>
    <n v="1973.9"/>
    <n v="1.6339869281045751E-4"/>
  </r>
  <r>
    <s v="1040DE"/>
    <n v="48099"/>
    <d v="2018-10-17T00:00:00"/>
    <n v="8050"/>
    <n v="110"/>
    <m/>
    <n v="60"/>
    <n v="3600"/>
    <s v="Lucas Basics"/>
    <s v="Aida GmbH"/>
    <s v="Smartphone case diamond"/>
    <x v="0"/>
    <n v="4229.78"/>
    <n v="0"/>
  </r>
  <r>
    <s v="1040DE"/>
    <n v="48099"/>
    <d v="2018-10-17T00:00:00"/>
    <n v="8050"/>
    <n v="111"/>
    <m/>
    <n v="60"/>
    <n v="1200"/>
    <s v="Lucas Basics"/>
    <s v="Aida GmbH"/>
    <s v="Smartphone case simple"/>
    <x v="0"/>
    <n v="1409.93"/>
    <n v="0"/>
  </r>
  <r>
    <s v="1040DE"/>
    <n v="48101"/>
    <d v="2018-10-17T00:00:00"/>
    <n v="8060"/>
    <n v="109"/>
    <m/>
    <n v="60"/>
    <n v="1680"/>
    <s v="Lucas Basics"/>
    <s v="Liebher"/>
    <s v="Laptop bag red"/>
    <x v="0"/>
    <n v="1973.9"/>
    <n v="0"/>
  </r>
  <r>
    <s v="1040DE"/>
    <n v="48101"/>
    <d v="2018-10-17T00:00:00"/>
    <n v="8060"/>
    <n v="110"/>
    <m/>
    <n v="50"/>
    <n v="3000"/>
    <s v="Lucas Basics"/>
    <s v="Liebher"/>
    <s v="Smartphone case diamond"/>
    <x v="0"/>
    <n v="3524.82"/>
    <n v="0"/>
  </r>
  <r>
    <s v="1040DE"/>
    <n v="45427"/>
    <d v="2018-10-21T00:00:00"/>
    <n v="8050"/>
    <n v="108"/>
    <m/>
    <n v="70"/>
    <n v="1960"/>
    <s v="Lucas Basics"/>
    <s v="Aida GmbH"/>
    <s v="Laptop bag black"/>
    <x v="0"/>
    <n v="2302.88"/>
    <n v="0"/>
  </r>
  <r>
    <s v="1040DE"/>
    <n v="45427"/>
    <d v="2018-10-21T00:00:00"/>
    <n v="8050"/>
    <n v="109"/>
    <m/>
    <n v="60"/>
    <n v="1680"/>
    <s v="Lucas Basics"/>
    <s v="Aida GmbH"/>
    <s v="Laptop bag red"/>
    <x v="0"/>
    <n v="1973.9"/>
    <n v="0"/>
  </r>
  <r>
    <s v="1040DE"/>
    <n v="45429"/>
    <d v="2018-10-21T00:00:00"/>
    <n v="8060"/>
    <n v="108"/>
    <m/>
    <n v="80"/>
    <n v="2240"/>
    <s v="Lucas Basics"/>
    <s v="Liebher"/>
    <s v="Laptop bag black"/>
    <x v="0"/>
    <n v="2631.86"/>
    <n v="0"/>
  </r>
  <r>
    <s v="1040DE"/>
    <n v="45429"/>
    <d v="2018-10-21T00:00:00"/>
    <n v="8060"/>
    <n v="109"/>
    <n v="2"/>
    <n v="80"/>
    <n v="2240"/>
    <s v="Lucas Basics"/>
    <s v="Liebher"/>
    <s v="Laptop bag red"/>
    <x v="0"/>
    <n v="2631.86"/>
    <n v="3.2679738562091501E-4"/>
  </r>
  <r>
    <s v="1040DE"/>
    <n v="45429"/>
    <d v="2018-10-21T00:00:00"/>
    <n v="8060"/>
    <n v="110"/>
    <m/>
    <n v="50"/>
    <n v="3000"/>
    <s v="Lucas Basics"/>
    <s v="Liebher"/>
    <s v="Smartphone case diamond"/>
    <x v="0"/>
    <n v="3524.82"/>
    <n v="0"/>
  </r>
  <r>
    <s v="1040DE"/>
    <n v="45431"/>
    <d v="2018-10-21T00:00:00"/>
    <n v="8050"/>
    <n v="111"/>
    <m/>
    <n v="60"/>
    <n v="1200"/>
    <s v="Lucas Basics"/>
    <s v="Aida GmbH"/>
    <s v="Smartphone case simple"/>
    <x v="0"/>
    <n v="1409.93"/>
    <n v="0"/>
  </r>
  <r>
    <s v="1040DE"/>
    <n v="45431"/>
    <d v="2018-10-21T00:00:00"/>
    <n v="8050"/>
    <n v="108"/>
    <m/>
    <n v="60"/>
    <n v="1680"/>
    <s v="Lucas Basics"/>
    <s v="Aida GmbH"/>
    <s v="Laptop bag black"/>
    <x v="0"/>
    <n v="1973.9"/>
    <n v="0"/>
  </r>
  <r>
    <s v="1020US"/>
    <n v="24030"/>
    <d v="2018-10-02T00:00:00"/>
    <n v="8020"/>
    <n v="101"/>
    <n v="1"/>
    <n v="130"/>
    <n v="1560"/>
    <s v="Meta Creations"/>
    <s v="Erma"/>
    <s v="Men type T simple white"/>
    <x v="1"/>
    <n v="1560"/>
    <n v="1.6339869281045751E-4"/>
  </r>
  <r>
    <s v="1020US"/>
    <n v="24030"/>
    <d v="2018-10-02T00:00:00"/>
    <n v="8020"/>
    <n v="102"/>
    <m/>
    <n v="30"/>
    <n v="360"/>
    <s v="Meta Creations"/>
    <s v="Erma"/>
    <s v="Men type T simple black"/>
    <x v="1"/>
    <n v="360"/>
    <n v="0"/>
  </r>
  <r>
    <s v="1020US"/>
    <n v="24030"/>
    <d v="2018-10-02T00:00:00"/>
    <n v="8020"/>
    <n v="106"/>
    <s v=""/>
    <n v="60"/>
    <n v="300"/>
    <s v="Meta Creations"/>
    <s v="Erma"/>
    <s v="Men basics"/>
    <x v="1"/>
    <n v="300"/>
    <n v="0"/>
  </r>
  <r>
    <s v="1020US"/>
    <n v="24030"/>
    <d v="2018-10-02T00:00:00"/>
    <n v="8020"/>
    <n v="108"/>
    <m/>
    <n v="80"/>
    <n v="2240"/>
    <s v="Meta Creations"/>
    <s v="Erma"/>
    <s v="Laptop bag black"/>
    <x v="1"/>
    <n v="2240"/>
    <n v="0"/>
  </r>
  <r>
    <s v="1020US"/>
    <n v="24031"/>
    <d v="2018-10-08T00:00:00"/>
    <n v="8020"/>
    <n v="101"/>
    <s v=""/>
    <n v="100"/>
    <n v="1200"/>
    <s v="Meta Creations"/>
    <s v="Erma"/>
    <s v="Men type T simple white"/>
    <x v="1"/>
    <n v="1200"/>
    <n v="0"/>
  </r>
  <r>
    <s v="1020US"/>
    <n v="24031"/>
    <d v="2018-10-08T00:00:00"/>
    <n v="8020"/>
    <n v="108"/>
    <s v=""/>
    <n v="20"/>
    <n v="560"/>
    <s v="Meta Creations"/>
    <s v="Erma"/>
    <s v="Laptop bag black"/>
    <x v="1"/>
    <n v="560"/>
    <n v="0"/>
  </r>
  <r>
    <s v="1020US"/>
    <n v="24031"/>
    <d v="2018-10-08T00:00:00"/>
    <n v="8020"/>
    <n v="113"/>
    <s v=""/>
    <n v="100"/>
    <n v="2500"/>
    <s v="Meta Creations"/>
    <s v="Erma"/>
    <s v="Men dress shirt black"/>
    <x v="1"/>
    <n v="2500"/>
    <n v="0"/>
  </r>
  <r>
    <s v="1020US"/>
    <n v="28112"/>
    <d v="2018-10-12T00:00:00"/>
    <n v="8020"/>
    <n v="114"/>
    <n v="1"/>
    <n v="50"/>
    <n v="1250"/>
    <s v="Meta Creations"/>
    <s v="Erma"/>
    <s v="Men dress shirt grey"/>
    <x v="1"/>
    <n v="1250"/>
    <n v="1.6339869281045751E-4"/>
  </r>
  <r>
    <s v="1020US"/>
    <n v="28112"/>
    <d v="2018-10-12T00:00:00"/>
    <n v="8020"/>
    <n v="101"/>
    <s v=""/>
    <n v="40"/>
    <n v="480"/>
    <s v="Meta Creations"/>
    <s v="Erma"/>
    <s v="Men type T simple white"/>
    <x v="1"/>
    <n v="480"/>
    <n v="0"/>
  </r>
  <r>
    <s v="1020US"/>
    <n v="28112"/>
    <d v="2018-10-12T00:00:00"/>
    <n v="8020"/>
    <n v="102"/>
    <m/>
    <n v="70"/>
    <n v="840"/>
    <s v="Meta Creations"/>
    <s v="Erma"/>
    <s v="Men type T simple black"/>
    <x v="1"/>
    <n v="840"/>
    <n v="0"/>
  </r>
  <r>
    <s v="1020US"/>
    <n v="28112"/>
    <d v="2018-10-12T00:00:00"/>
    <n v="8020"/>
    <n v="106"/>
    <m/>
    <n v="70"/>
    <n v="350"/>
    <s v="Meta Creations"/>
    <s v="Erma"/>
    <s v="Men basics"/>
    <x v="1"/>
    <n v="350"/>
    <n v="0"/>
  </r>
  <r>
    <s v="1020US"/>
    <n v="28112"/>
    <d v="2018-10-12T00:00:00"/>
    <n v="8020"/>
    <n v="108"/>
    <m/>
    <n v="10"/>
    <n v="280"/>
    <s v="Meta Creations"/>
    <s v="Erma"/>
    <s v="Laptop bag black"/>
    <x v="1"/>
    <n v="280"/>
    <n v="0"/>
  </r>
  <r>
    <s v="1020US"/>
    <n v="28112"/>
    <d v="2018-10-12T00:00:00"/>
    <n v="8020"/>
    <n v="117"/>
    <m/>
    <n v="80"/>
    <n v="1440"/>
    <s v="Meta Creations"/>
    <s v="Erma"/>
    <s v="Men shorts grey"/>
    <x v="1"/>
    <n v="1440"/>
    <n v="0"/>
  </r>
  <r>
    <s v="1020US"/>
    <n v="28112"/>
    <d v="2018-10-12T00:00:00"/>
    <n v="8020"/>
    <n v="118"/>
    <m/>
    <n v="70"/>
    <n v="1260"/>
    <s v="Meta Creations"/>
    <s v="Erma"/>
    <s v="Men shorts black"/>
    <x v="1"/>
    <n v="1260"/>
    <n v="0"/>
  </r>
  <r>
    <s v="1020US"/>
    <n v="25442"/>
    <d v="2018-10-16T00:00:00"/>
    <n v="8010"/>
    <n v="118"/>
    <m/>
    <n v="70"/>
    <n v="1260"/>
    <s v="Meta Creations"/>
    <s v="Dellicia"/>
    <s v="Men shorts black"/>
    <x v="1"/>
    <n v="1260"/>
    <n v="0"/>
  </r>
  <r>
    <s v="1020US"/>
    <n v="25442"/>
    <d v="2018-10-16T00:00:00"/>
    <n v="8010"/>
    <n v="117"/>
    <n v="6"/>
    <n v="80"/>
    <n v="1440"/>
    <s v="Meta Creations"/>
    <s v="Dellicia"/>
    <s v="Men shorts grey"/>
    <x v="1"/>
    <n v="1440"/>
    <n v="9.8039215686274508E-4"/>
  </r>
  <r>
    <s v="1020US"/>
    <n v="25442"/>
    <d v="2018-10-16T00:00:00"/>
    <n v="8010"/>
    <n v="118"/>
    <m/>
    <n v="70"/>
    <n v="1260"/>
    <s v="Meta Creations"/>
    <s v="Dellicia"/>
    <s v="Men shorts black"/>
    <x v="1"/>
    <n v="1260"/>
    <n v="0"/>
  </r>
  <r>
    <s v="1020US"/>
    <n v="25442"/>
    <d v="2018-10-16T00:00:00"/>
    <n v="8010"/>
    <n v="116"/>
    <n v="1"/>
    <n v="60"/>
    <n v="360"/>
    <s v="Meta Creations"/>
    <s v="Dellicia"/>
    <s v="Unisex tank top white"/>
    <x v="1"/>
    <n v="360"/>
    <n v="1.6339869281045751E-4"/>
  </r>
  <r>
    <s v="1020US"/>
    <n v="25442"/>
    <d v="2018-10-16T00:00:00"/>
    <n v="8010"/>
    <n v="106"/>
    <m/>
    <n v="20"/>
    <n v="100"/>
    <s v="Meta Creations"/>
    <s v="Dellicia"/>
    <s v="Men basics"/>
    <x v="1"/>
    <n v="100"/>
    <n v="0"/>
  </r>
  <r>
    <s v="1020US"/>
    <n v="25442"/>
    <d v="2018-10-16T00:00:00"/>
    <n v="8010"/>
    <n v="101"/>
    <m/>
    <n v="40"/>
    <n v="480"/>
    <s v="Meta Creations"/>
    <s v="Dellicia"/>
    <s v="Men type T simple white"/>
    <x v="1"/>
    <n v="480"/>
    <n v="0"/>
  </r>
  <r>
    <s v="1020US"/>
    <n v="25442"/>
    <d v="2018-10-16T00:00:00"/>
    <n v="8010"/>
    <n v="102"/>
    <m/>
    <n v="10"/>
    <n v="120"/>
    <s v="Meta Creations"/>
    <s v="Dellicia"/>
    <s v="Men type T simple black"/>
    <x v="1"/>
    <n v="120"/>
    <n v="0"/>
  </r>
  <r>
    <s v="1010US"/>
    <n v="66030"/>
    <d v="2018-10-04T00:00:00"/>
    <n v="8010"/>
    <n v="103"/>
    <s v=""/>
    <n v="120"/>
    <n v="1440"/>
    <s v="Urban Right"/>
    <s v="Dellicia"/>
    <s v="Women type T simple white"/>
    <x v="1"/>
    <n v="1440"/>
    <n v="0"/>
  </r>
  <r>
    <s v="1010US"/>
    <n v="66030"/>
    <d v="2018-10-04T00:00:00"/>
    <n v="8010"/>
    <n v="104"/>
    <m/>
    <n v="150"/>
    <n v="1800"/>
    <s v="Urban Right"/>
    <s v="Dellicia"/>
    <s v="Women type T simple black"/>
    <x v="1"/>
    <n v="1800"/>
    <n v="0"/>
  </r>
  <r>
    <s v="1010US"/>
    <n v="66032"/>
    <d v="2018-10-07T00:00:00"/>
    <n v="8010"/>
    <n v="103"/>
    <m/>
    <n v="170"/>
    <n v="2040"/>
    <s v="Urban Right"/>
    <s v="Dellicia"/>
    <s v="Women type T simple white"/>
    <x v="1"/>
    <n v="2040"/>
    <n v="0"/>
  </r>
  <r>
    <s v="1010US"/>
    <n v="66032"/>
    <d v="2018-10-07T00:00:00"/>
    <n v="8010"/>
    <n v="104"/>
    <m/>
    <n v="140"/>
    <n v="1680"/>
    <s v="Urban Right"/>
    <s v="Dellicia"/>
    <s v="Women type T simple black"/>
    <x v="1"/>
    <n v="1680"/>
    <n v="0"/>
  </r>
  <r>
    <s v="1010US"/>
    <n v="66031"/>
    <d v="2018-10-08T00:00:00"/>
    <n v="8020"/>
    <n v="103"/>
    <n v="1"/>
    <n v="140"/>
    <n v="1680"/>
    <s v="Urban Right"/>
    <s v="Erma"/>
    <s v="Women type T simple white"/>
    <x v="1"/>
    <n v="1680"/>
    <n v="1.6339869281045751E-4"/>
  </r>
  <r>
    <s v="1010US"/>
    <n v="66031"/>
    <d v="2018-10-08T00:00:00"/>
    <n v="8020"/>
    <n v="104"/>
    <m/>
    <n v="150"/>
    <n v="1800"/>
    <s v="Urban Right"/>
    <s v="Erma"/>
    <s v="Women type T simple black"/>
    <x v="1"/>
    <n v="1800"/>
    <n v="0"/>
  </r>
  <r>
    <s v="1010US"/>
    <n v="66031"/>
    <d v="2018-10-08T00:00:00"/>
    <n v="8020"/>
    <n v="105"/>
    <m/>
    <n v="100"/>
    <n v="1000"/>
    <s v="Urban Right"/>
    <s v="Erma"/>
    <s v="Women crop top black"/>
    <x v="1"/>
    <n v="1000"/>
    <n v="0"/>
  </r>
  <r>
    <s v="1010US"/>
    <n v="68112"/>
    <d v="2018-10-11T00:00:00"/>
    <n v="8010"/>
    <n v="104"/>
    <n v="4"/>
    <n v="180"/>
    <n v="2160"/>
    <s v="Urban Right"/>
    <s v="Dellicia"/>
    <s v="Women type T simple black"/>
    <x v="1"/>
    <n v="2160"/>
    <n v="6.5359477124183002E-4"/>
  </r>
  <r>
    <s v="1010US"/>
    <n v="68112"/>
    <d v="2018-10-11T00:00:00"/>
    <n v="8010"/>
    <n v="105"/>
    <m/>
    <n v="120"/>
    <n v="1200"/>
    <s v="Urban Right"/>
    <s v="Dellicia"/>
    <s v="Women crop top black"/>
    <x v="1"/>
    <n v="1200"/>
    <n v="0"/>
  </r>
  <r>
    <s v="1010US"/>
    <n v="68116"/>
    <d v="2018-10-11T00:00:00"/>
    <n v="8020"/>
    <n v="104"/>
    <m/>
    <n v="150"/>
    <n v="1800"/>
    <s v="Urban Right"/>
    <s v="Erma"/>
    <s v="Women type T simple black"/>
    <x v="1"/>
    <n v="1800"/>
    <n v="0"/>
  </r>
  <r>
    <s v="1010US"/>
    <n v="68116"/>
    <d v="2018-10-11T00:00:00"/>
    <n v="8020"/>
    <n v="105"/>
    <m/>
    <n v="190"/>
    <n v="1900"/>
    <s v="Urban Right"/>
    <s v="Erma"/>
    <s v="Women crop top black"/>
    <x v="1"/>
    <n v="1900"/>
    <n v="0"/>
  </r>
  <r>
    <s v="1010US"/>
    <n v="68116"/>
    <d v="2018-10-11T00:00:00"/>
    <n v="8020"/>
    <n v="107"/>
    <n v="2"/>
    <n v="160"/>
    <n v="800"/>
    <s v="Urban Right"/>
    <s v="Erma"/>
    <s v="Women basics"/>
    <x v="1"/>
    <n v="800"/>
    <n v="3.2679738562091501E-4"/>
  </r>
  <r>
    <s v="1010US"/>
    <n v="68116"/>
    <d v="2018-10-11T00:00:00"/>
    <n v="8010"/>
    <n v="104"/>
    <m/>
    <n v="160"/>
    <n v="1920"/>
    <s v="Urban Right"/>
    <s v="Dellicia"/>
    <s v="Women type T simple black"/>
    <x v="1"/>
    <n v="1920"/>
    <n v="0"/>
  </r>
  <r>
    <s v="1010US"/>
    <n v="68116"/>
    <d v="2018-10-11T00:00:00"/>
    <n v="8010"/>
    <n v="105"/>
    <m/>
    <n v="190"/>
    <n v="1900"/>
    <s v="Urban Right"/>
    <s v="Dellicia"/>
    <s v="Women crop top black"/>
    <x v="1"/>
    <n v="1900"/>
    <n v="0"/>
  </r>
  <r>
    <s v="1010US"/>
    <n v="65662"/>
    <d v="2018-10-15T00:00:00"/>
    <n v="8020"/>
    <n v="103"/>
    <m/>
    <n v="120"/>
    <n v="1440"/>
    <s v="Urban Right"/>
    <s v="Erma"/>
    <s v="Women type T simple white"/>
    <x v="1"/>
    <n v="1440"/>
    <n v="0"/>
  </r>
  <r>
    <s v="1010US"/>
    <n v="65662"/>
    <d v="2018-10-15T00:00:00"/>
    <n v="8020"/>
    <n v="104"/>
    <m/>
    <n v="110"/>
    <n v="1320"/>
    <s v="Urban Right"/>
    <s v="Erma"/>
    <s v="Women type T simple black"/>
    <x v="1"/>
    <n v="1320"/>
    <n v="0"/>
  </r>
  <r>
    <s v="1010US"/>
    <n v="65666"/>
    <d v="2018-10-15T00:00:00"/>
    <n v="8010"/>
    <n v="103"/>
    <m/>
    <n v="120"/>
    <n v="1440"/>
    <s v="Urban Right"/>
    <s v="Dellicia"/>
    <s v="Women type T simple white"/>
    <x v="1"/>
    <n v="1440"/>
    <n v="0"/>
  </r>
  <r>
    <s v="1010US"/>
    <n v="65666"/>
    <d v="2018-10-15T00:00:00"/>
    <n v="8010"/>
    <n v="104"/>
    <m/>
    <n v="140"/>
    <n v="1680"/>
    <s v="Urban Right"/>
    <s v="Dellicia"/>
    <s v="Women type T simple black"/>
    <x v="1"/>
    <n v="1680"/>
    <n v="0"/>
  </r>
  <r>
    <s v="1010US"/>
    <n v="65666"/>
    <d v="2018-10-15T00:00:00"/>
    <n v="8010"/>
    <n v="105"/>
    <m/>
    <n v="160"/>
    <n v="1600"/>
    <s v="Urban Right"/>
    <s v="Dellicia"/>
    <s v="Women crop top black"/>
    <x v="1"/>
    <n v="1600"/>
    <n v="0"/>
  </r>
  <r>
    <s v="1010US"/>
    <n v="65666"/>
    <d v="2018-10-15T00:00:00"/>
    <n v="8020"/>
    <n v="107"/>
    <m/>
    <n v="120"/>
    <n v="600"/>
    <s v="Urban Right"/>
    <s v="Erma"/>
    <s v="Women basics"/>
    <x v="1"/>
    <n v="600"/>
    <n v="0"/>
  </r>
  <r>
    <s v="1010US"/>
    <n v="65666"/>
    <d v="2018-10-15T00:00:00"/>
    <n v="8020"/>
    <n v="103"/>
    <m/>
    <n v="200"/>
    <n v="2400"/>
    <s v="Urban Right"/>
    <s v="Erma"/>
    <s v="Women type T simple white"/>
    <x v="1"/>
    <n v="2400"/>
    <n v="0"/>
  </r>
  <r>
    <s v="1010US"/>
    <n v="66015"/>
    <d v="2018-10-10T00:00:00"/>
    <n v="8010"/>
    <n v="103"/>
    <m/>
    <n v="140"/>
    <n v="1680"/>
    <s v="Urban Right"/>
    <s v="Dellicia"/>
    <s v="Women type T simple white"/>
    <x v="1"/>
    <n v="1680"/>
    <n v="0"/>
  </r>
  <r>
    <s v="1010US"/>
    <n v="66015"/>
    <d v="2018-10-10T00:00:00"/>
    <n v="8010"/>
    <n v="104"/>
    <m/>
    <n v="140"/>
    <n v="1680"/>
    <s v="Urban Right"/>
    <s v="Dellicia"/>
    <s v="Women type T simple black"/>
    <x v="1"/>
    <n v="1680"/>
    <n v="0"/>
  </r>
  <r>
    <s v="1010US"/>
    <n v="66017"/>
    <d v="2018-10-13T00:00:00"/>
    <n v="8010"/>
    <n v="103"/>
    <m/>
    <n v="140"/>
    <n v="1680"/>
    <s v="Urban Right"/>
    <s v="Dellicia"/>
    <s v="Women type T simple white"/>
    <x v="1"/>
    <n v="1680"/>
    <n v="0"/>
  </r>
  <r>
    <s v="1010US"/>
    <n v="66017"/>
    <d v="2018-10-13T00:00:00"/>
    <n v="8010"/>
    <n v="104"/>
    <m/>
    <n v="140"/>
    <n v="1680"/>
    <s v="Urban Right"/>
    <s v="Dellicia"/>
    <s v="Women type T simple black"/>
    <x v="1"/>
    <n v="1680"/>
    <n v="0"/>
  </r>
  <r>
    <s v="1010US"/>
    <n v="66016"/>
    <d v="2018-10-14T00:00:00"/>
    <n v="8020"/>
    <n v="103"/>
    <m/>
    <n v="120"/>
    <n v="1440"/>
    <s v="Urban Right"/>
    <s v="Erma"/>
    <s v="Women type T simple white"/>
    <x v="1"/>
    <n v="1440"/>
    <n v="0"/>
  </r>
  <r>
    <s v="1010US"/>
    <n v="66016"/>
    <d v="2018-10-14T00:00:00"/>
    <n v="8020"/>
    <n v="104"/>
    <m/>
    <n v="130"/>
    <n v="1560"/>
    <s v="Urban Right"/>
    <s v="Erma"/>
    <s v="Women type T simple black"/>
    <x v="1"/>
    <n v="1560"/>
    <n v="0"/>
  </r>
  <r>
    <s v="1010US"/>
    <n v="66016"/>
    <d v="2018-10-14T00:00:00"/>
    <n v="8020"/>
    <n v="105"/>
    <m/>
    <n v="120"/>
    <n v="1200"/>
    <s v="Urban Right"/>
    <s v="Erma"/>
    <s v="Women crop top black"/>
    <x v="1"/>
    <n v="1200"/>
    <n v="0"/>
  </r>
  <r>
    <s v="1010US"/>
    <n v="68097"/>
    <d v="2018-10-17T00:00:00"/>
    <n v="8010"/>
    <n v="104"/>
    <m/>
    <n v="140"/>
    <n v="1680"/>
    <s v="Urban Right"/>
    <s v="Dellicia"/>
    <s v="Women type T simple black"/>
    <x v="1"/>
    <n v="1680"/>
    <n v="0"/>
  </r>
  <r>
    <s v="1010US"/>
    <n v="68097"/>
    <d v="2018-10-17T00:00:00"/>
    <n v="8010"/>
    <n v="105"/>
    <m/>
    <n v="130"/>
    <n v="1300"/>
    <s v="Urban Right"/>
    <s v="Dellicia"/>
    <s v="Women crop top black"/>
    <x v="1"/>
    <n v="1300"/>
    <n v="0"/>
  </r>
  <r>
    <s v="1010US"/>
    <n v="68099"/>
    <d v="2018-10-17T00:00:00"/>
    <n v="8020"/>
    <n v="104"/>
    <m/>
    <n v="120"/>
    <n v="1440"/>
    <s v="Urban Right"/>
    <s v="Erma"/>
    <s v="Women type T simple black"/>
    <x v="1"/>
    <n v="1440"/>
    <n v="0"/>
  </r>
  <r>
    <s v="1010US"/>
    <n v="68099"/>
    <d v="2018-10-17T00:00:00"/>
    <n v="8020"/>
    <n v="105"/>
    <n v="2"/>
    <n v="140"/>
    <n v="1400"/>
    <s v="Urban Right"/>
    <s v="Erma"/>
    <s v="Women crop top black"/>
    <x v="1"/>
    <n v="1400"/>
    <n v="3.2679738562091501E-4"/>
  </r>
  <r>
    <s v="1010US"/>
    <n v="68099"/>
    <d v="2018-10-17T00:00:00"/>
    <n v="8020"/>
    <n v="107"/>
    <m/>
    <n v="170"/>
    <n v="850"/>
    <s v="Urban Right"/>
    <s v="Erma"/>
    <s v="Women basics"/>
    <x v="1"/>
    <n v="850"/>
    <n v="0"/>
  </r>
  <r>
    <s v="1010US"/>
    <n v="68101"/>
    <d v="2018-10-17T00:00:00"/>
    <n v="8010"/>
    <n v="104"/>
    <m/>
    <n v="190"/>
    <n v="2280"/>
    <s v="Urban Right"/>
    <s v="Dellicia"/>
    <s v="Women type T simple black"/>
    <x v="1"/>
    <n v="2280"/>
    <n v="0"/>
  </r>
  <r>
    <s v="1010US"/>
    <n v="68101"/>
    <d v="2018-10-17T00:00:00"/>
    <n v="8010"/>
    <n v="105"/>
    <m/>
    <n v="140"/>
    <n v="1400"/>
    <s v="Urban Right"/>
    <s v="Dellicia"/>
    <s v="Women crop top black"/>
    <x v="1"/>
    <n v="1400"/>
    <n v="0"/>
  </r>
  <r>
    <s v="1010US"/>
    <n v="65627"/>
    <d v="2018-10-21T00:00:00"/>
    <n v="8020"/>
    <n v="103"/>
    <m/>
    <n v="140"/>
    <n v="1680"/>
    <s v="Urban Right"/>
    <s v="Erma"/>
    <s v="Women type T simple white"/>
    <x v="1"/>
    <n v="1680"/>
    <n v="0"/>
  </r>
  <r>
    <s v="1010US"/>
    <n v="65627"/>
    <d v="2018-10-21T00:00:00"/>
    <n v="8020"/>
    <n v="104"/>
    <n v="3"/>
    <n v="160"/>
    <n v="1920"/>
    <s v="Urban Right"/>
    <s v="Erma"/>
    <s v="Women type T simple black"/>
    <x v="1"/>
    <n v="1920"/>
    <n v="4.9019607843137254E-4"/>
  </r>
  <r>
    <s v="1010US"/>
    <n v="65629"/>
    <d v="2018-10-21T00:00:00"/>
    <n v="8010"/>
    <n v="103"/>
    <m/>
    <n v="190"/>
    <n v="2280"/>
    <s v="Urban Right"/>
    <s v="Dellicia"/>
    <s v="Women type T simple white"/>
    <x v="1"/>
    <n v="2280"/>
    <n v="0"/>
  </r>
  <r>
    <s v="1010US"/>
    <n v="65629"/>
    <d v="2018-10-21T00:00:00"/>
    <n v="8010"/>
    <n v="104"/>
    <m/>
    <n v="130"/>
    <n v="1560"/>
    <s v="Urban Right"/>
    <s v="Dellicia"/>
    <s v="Women type T simple black"/>
    <x v="1"/>
    <n v="1560"/>
    <n v="0"/>
  </r>
  <r>
    <s v="1010US"/>
    <n v="65629"/>
    <d v="2018-10-21T00:00:00"/>
    <n v="8010"/>
    <n v="105"/>
    <m/>
    <n v="140"/>
    <n v="1400"/>
    <s v="Urban Right"/>
    <s v="Dellicia"/>
    <s v="Women crop top black"/>
    <x v="1"/>
    <n v="1400"/>
    <n v="0"/>
  </r>
  <r>
    <s v="1010US"/>
    <n v="65631"/>
    <d v="2018-10-21T00:00:00"/>
    <n v="8020"/>
    <n v="107"/>
    <m/>
    <n v="190"/>
    <n v="950"/>
    <s v="Urban Right"/>
    <s v="Erma"/>
    <s v="Women basics"/>
    <x v="1"/>
    <n v="950"/>
    <n v="0"/>
  </r>
  <r>
    <s v="1010US"/>
    <n v="65631"/>
    <d v="2018-10-21T00:00:00"/>
    <n v="8020"/>
    <n v="103"/>
    <m/>
    <n v="120"/>
    <n v="1440"/>
    <s v="Urban Right"/>
    <s v="Erma"/>
    <s v="Women type T simple white"/>
    <x v="1"/>
    <n v="144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1030AT"/>
    <n v="84030"/>
    <d v="2018-10-07T00:00:00"/>
    <n v="8050"/>
    <n v="120"/>
    <s v=""/>
    <n v="120"/>
    <n v="6960"/>
    <x v="0"/>
    <s v="Aida GmbH"/>
    <s v="Women evening dress Cocktail red"/>
    <x v="0"/>
    <n v="8177.58"/>
    <n v="0"/>
  </r>
  <r>
    <s v="1030AT"/>
    <n v="84030"/>
    <d v="2018-10-07T00:00:00"/>
    <n v="8050"/>
    <n v="104"/>
    <n v="1"/>
    <n v="430"/>
    <n v="5160"/>
    <x v="0"/>
    <s v="Aida GmbH"/>
    <s v="Women type T simple black"/>
    <x v="0"/>
    <n v="6062.69"/>
    <n v="1.6339869281045751E-4"/>
  </r>
  <r>
    <s v="1030AT"/>
    <n v="84030"/>
    <d v="2018-10-07T00:00:00"/>
    <n v="8050"/>
    <n v="105"/>
    <s v=""/>
    <n v="120"/>
    <n v="1200"/>
    <x v="0"/>
    <s v="Aida GmbH"/>
    <s v="Women crop top black"/>
    <x v="0"/>
    <n v="1409.93"/>
    <n v="0"/>
  </r>
  <r>
    <s v="1030AT"/>
    <n v="84030"/>
    <d v="2018-10-07T00:00:00"/>
    <n v="8050"/>
    <n v="107"/>
    <n v="1"/>
    <n v="690"/>
    <n v="3450"/>
    <x v="0"/>
    <s v="Aida GmbH"/>
    <s v="Women basics"/>
    <x v="0"/>
    <n v="4053.54"/>
    <n v="1.6339869281045751E-4"/>
  </r>
  <r>
    <s v="1030AT"/>
    <n v="84031"/>
    <d v="2018-10-08T00:00:00"/>
    <n v="8040"/>
    <n v="104"/>
    <s v=""/>
    <n v="870"/>
    <n v="10440"/>
    <x v="0"/>
    <s v="Werner Strauss"/>
    <s v="Women type T simple black"/>
    <x v="0"/>
    <n v="12266.36"/>
    <n v="0"/>
  </r>
  <r>
    <s v="1030AT"/>
    <n v="84031"/>
    <d v="2018-10-08T00:00:00"/>
    <n v="8040"/>
    <n v="107"/>
    <s v=""/>
    <n v="760"/>
    <n v="3800"/>
    <x v="0"/>
    <s v="Werner Strauss"/>
    <s v="Women basics"/>
    <x v="0"/>
    <n v="4464.7700000000004"/>
    <n v="0"/>
  </r>
  <r>
    <s v="1030AT"/>
    <n v="84031"/>
    <d v="2018-10-08T00:00:00"/>
    <n v="8040"/>
    <n v="110"/>
    <n v="2"/>
    <n v="500"/>
    <n v="30000"/>
    <x v="0"/>
    <s v="Werner Strauss"/>
    <s v="Smartphone case diamond"/>
    <x v="0"/>
    <n v="35248.17"/>
    <n v="3.2679738562091501E-4"/>
  </r>
  <r>
    <s v="1030AT"/>
    <n v="88112"/>
    <d v="2018-10-11T00:00:00"/>
    <n v="8040"/>
    <n v="110"/>
    <m/>
    <n v="480"/>
    <n v="28800"/>
    <x v="0"/>
    <s v="Werner Strauss"/>
    <s v="Smartphone case diamond"/>
    <x v="0"/>
    <n v="33838.239999999998"/>
    <n v="0"/>
  </r>
  <r>
    <s v="1030AT"/>
    <n v="88112"/>
    <d v="2018-10-11T00:00:00"/>
    <n v="8040"/>
    <n v="119"/>
    <s v=""/>
    <n v="630"/>
    <n v="39060"/>
    <x v="0"/>
    <s v="Werner Strauss"/>
    <s v="Women evening dress long black"/>
    <x v="0"/>
    <n v="45893.120000000003"/>
    <n v="0"/>
  </r>
  <r>
    <s v="1030AT"/>
    <n v="88112"/>
    <d v="2018-10-11T00:00:00"/>
    <n v="8040"/>
    <n v="120"/>
    <m/>
    <n v="150"/>
    <n v="8700"/>
    <x v="0"/>
    <s v="Werner Strauss"/>
    <s v="Women evening dress Cocktail red"/>
    <x v="0"/>
    <n v="10221.969999999999"/>
    <n v="0"/>
  </r>
  <r>
    <s v="1030AT"/>
    <n v="88112"/>
    <d v="2018-10-11T00:00:00"/>
    <n v="8040"/>
    <n v="116"/>
    <n v="4"/>
    <n v="760"/>
    <n v="4560"/>
    <x v="0"/>
    <s v="Werner Strauss"/>
    <s v="Unisex tank top white"/>
    <x v="0"/>
    <n v="5357.72"/>
    <n v="6.5359477124183002E-4"/>
  </r>
  <r>
    <s v="1030AT"/>
    <n v="88112"/>
    <d v="2018-10-11T00:00:00"/>
    <n v="8040"/>
    <n v="111"/>
    <m/>
    <n v="590"/>
    <n v="11800"/>
    <x v="0"/>
    <s v="Werner Strauss"/>
    <s v="Smartphone case simple"/>
    <x v="0"/>
    <n v="13864.28"/>
    <n v="0"/>
  </r>
  <r>
    <s v="1030AT"/>
    <n v="88112"/>
    <d v="2018-10-11T00:00:00"/>
    <n v="8040"/>
    <n v="110"/>
    <m/>
    <n v="530"/>
    <n v="31800"/>
    <x v="0"/>
    <s v="Werner Strauss"/>
    <s v="Smartphone case diamond"/>
    <x v="0"/>
    <n v="37363.06"/>
    <n v="0"/>
  </r>
  <r>
    <s v="1030AT"/>
    <n v="88112"/>
    <d v="2018-10-11T00:00:00"/>
    <n v="8040"/>
    <n v="109"/>
    <m/>
    <n v="260"/>
    <n v="7280"/>
    <x v="0"/>
    <s v="Werner Strauss"/>
    <s v="Laptop bag red"/>
    <x v="0"/>
    <n v="8553.56"/>
    <n v="0"/>
  </r>
  <r>
    <s v="1030AT"/>
    <n v="85442"/>
    <d v="2018-10-15T00:00:00"/>
    <n v="8050"/>
    <n v="107"/>
    <m/>
    <n v="270"/>
    <n v="1350"/>
    <x v="0"/>
    <s v="Aida GmbH"/>
    <s v="Women basics"/>
    <x v="0"/>
    <n v="1586.17"/>
    <n v="0"/>
  </r>
  <r>
    <s v="1030AT"/>
    <n v="85442"/>
    <d v="2018-10-15T00:00:00"/>
    <n v="8050"/>
    <n v="103"/>
    <m/>
    <n v="630"/>
    <n v="7560"/>
    <x v="0"/>
    <s v="Aida GmbH"/>
    <s v="Women type T simple white"/>
    <x v="0"/>
    <n v="8882.5400000000009"/>
    <n v="0"/>
  </r>
  <r>
    <s v="1030AT"/>
    <n v="85442"/>
    <d v="2018-10-15T00:00:00"/>
    <n v="8050"/>
    <n v="104"/>
    <m/>
    <n v="440"/>
    <n v="5280"/>
    <x v="0"/>
    <s v="Aida GmbH"/>
    <s v="Women type T simple black"/>
    <x v="0"/>
    <n v="6203.68"/>
    <n v="0"/>
  </r>
  <r>
    <s v="1030AT"/>
    <n v="85442"/>
    <d v="2018-10-15T00:00:00"/>
    <n v="8050"/>
    <n v="120"/>
    <m/>
    <n v="500"/>
    <n v="29000"/>
    <x v="0"/>
    <s v="Aida GmbH"/>
    <s v="Women evening dress Cocktail red"/>
    <x v="0"/>
    <n v="34073.230000000003"/>
    <n v="0"/>
  </r>
  <r>
    <s v="1030AT"/>
    <n v="85442"/>
    <d v="2018-10-15T00:00:00"/>
    <n v="8050"/>
    <n v="119"/>
    <n v="1"/>
    <n v="360"/>
    <n v="22320"/>
    <x v="0"/>
    <s v="Aida GmbH"/>
    <s v="Women evening dress long black"/>
    <x v="0"/>
    <n v="26224.639999999999"/>
    <n v="1.6339869281045751E-4"/>
  </r>
  <r>
    <s v="1030AT"/>
    <n v="85442"/>
    <d v="2018-10-15T00:00:00"/>
    <n v="8050"/>
    <n v="115"/>
    <m/>
    <n v="810"/>
    <n v="4860"/>
    <x v="0"/>
    <s v="Aida GmbH"/>
    <s v="Unisex tank top black"/>
    <x v="0"/>
    <n v="5710.2"/>
    <n v="0"/>
  </r>
  <r>
    <s v="1030AT"/>
    <n v="85442"/>
    <d v="2018-10-15T00:00:00"/>
    <n v="8050"/>
    <n v="108"/>
    <m/>
    <n v="800"/>
    <n v="22400"/>
    <x v="0"/>
    <s v="Aida GmbH"/>
    <s v="Laptop bag black"/>
    <x v="0"/>
    <n v="26318.63"/>
    <n v="0"/>
  </r>
  <r>
    <s v="1030AT"/>
    <n v="88588"/>
    <d v="2018-10-15T00:00:00"/>
    <n v="8040"/>
    <n v="120"/>
    <m/>
    <n v="470"/>
    <n v="27260"/>
    <x v="0"/>
    <s v="Werner Strauss"/>
    <s v="Women evening dress Cocktail red"/>
    <x v="0"/>
    <n v="32028.84"/>
    <n v="0"/>
  </r>
  <r>
    <s v="1030AT"/>
    <n v="88588"/>
    <d v="2018-10-15T00:00:00"/>
    <n v="8040"/>
    <n v="119"/>
    <m/>
    <n v="860"/>
    <n v="53320"/>
    <x v="0"/>
    <s v="Werner Strauss"/>
    <s v="Women evening dress long black"/>
    <x v="0"/>
    <n v="62647.75"/>
    <n v="0"/>
  </r>
  <r>
    <s v="1030AT"/>
    <n v="88588"/>
    <d v="2018-10-15T00:00:00"/>
    <n v="8040"/>
    <n v="110"/>
    <m/>
    <n v="180"/>
    <n v="10800"/>
    <x v="0"/>
    <s v="Werner Strauss"/>
    <s v="Smartphone case diamond"/>
    <x v="0"/>
    <n v="12689.34"/>
    <n v="0"/>
  </r>
  <r>
    <s v="1030AT"/>
    <n v="88588"/>
    <d v="2018-10-15T00:00:00"/>
    <n v="8040"/>
    <n v="111"/>
    <m/>
    <n v="750"/>
    <n v="15000"/>
    <x v="0"/>
    <s v="Werner Strauss"/>
    <s v="Smartphone case simple"/>
    <x v="0"/>
    <n v="17624.09"/>
    <n v="0"/>
  </r>
  <r>
    <s v="1030AT"/>
    <n v="88588"/>
    <d v="2018-10-15T00:00:00"/>
    <n v="8040"/>
    <n v="109"/>
    <m/>
    <n v="560"/>
    <n v="15680"/>
    <x v="0"/>
    <s v="Werner Strauss"/>
    <s v="Laptop bag red"/>
    <x v="0"/>
    <n v="18423.04"/>
    <n v="0"/>
  </r>
  <r>
    <s v="1030AT"/>
    <n v="88588"/>
    <d v="2018-10-15T00:00:00"/>
    <n v="8040"/>
    <n v="105"/>
    <m/>
    <n v="130"/>
    <n v="1300"/>
    <x v="0"/>
    <s v="Werner Strauss"/>
    <s v="Women crop top black"/>
    <x v="0"/>
    <n v="1527.42"/>
    <n v="0"/>
  </r>
  <r>
    <s v="1030AT"/>
    <n v="88588"/>
    <d v="2018-10-15T00:00:00"/>
    <n v="8040"/>
    <n v="103"/>
    <m/>
    <n v="110"/>
    <n v="1320"/>
    <x v="0"/>
    <s v="Werner Strauss"/>
    <s v="Women type T simple white"/>
    <x v="0"/>
    <n v="1550.92"/>
    <n v="0"/>
  </r>
  <r>
    <s v="1030AT"/>
    <n v="88544"/>
    <d v="2018-10-22T00:00:00"/>
    <n v="8040"/>
    <n v="107"/>
    <m/>
    <n v="770"/>
    <n v="3850"/>
    <x v="0"/>
    <s v="Werner Strauss"/>
    <s v="Women basics"/>
    <x v="0"/>
    <n v="4523.5200000000004"/>
    <n v="0"/>
  </r>
  <r>
    <s v="1030AT"/>
    <n v="88544"/>
    <d v="2018-10-22T00:00:00"/>
    <n v="8040"/>
    <n v="120"/>
    <m/>
    <n v="300"/>
    <n v="17400"/>
    <x v="0"/>
    <s v="Werner Strauss"/>
    <s v="Women evening dress Cocktail red"/>
    <x v="0"/>
    <n v="20443.939999999999"/>
    <n v="0"/>
  </r>
  <r>
    <s v="1030AT"/>
    <n v="88666"/>
    <d v="2018-10-26T00:00:00"/>
    <n v="8030"/>
    <n v="119"/>
    <m/>
    <n v="330"/>
    <n v="20460"/>
    <x v="0"/>
    <s v="Edson"/>
    <s v="Women evening dress long black"/>
    <x v="0"/>
    <n v="24039.25"/>
    <n v="0"/>
  </r>
  <r>
    <s v="1030AT"/>
    <n v="88666"/>
    <d v="2018-10-26T00:00:00"/>
    <n v="8030"/>
    <n v="107"/>
    <m/>
    <n v="460"/>
    <n v="2300"/>
    <x v="0"/>
    <s v="Edson"/>
    <s v="Women basics"/>
    <x v="0"/>
    <n v="2702.36"/>
    <n v="0"/>
  </r>
  <r>
    <s v="1030AT"/>
    <n v="88666"/>
    <d v="2018-10-26T00:00:00"/>
    <n v="8030"/>
    <n v="105"/>
    <n v="1"/>
    <n v="470"/>
    <n v="4700"/>
    <x v="0"/>
    <s v="Edson"/>
    <s v="Women crop top black"/>
    <x v="0"/>
    <n v="5522.21"/>
    <n v="1.6339869281045751E-4"/>
  </r>
  <r>
    <s v="1030AT"/>
    <n v="88666"/>
    <d v="2018-10-26T00:00:00"/>
    <n v="8030"/>
    <n v="115"/>
    <m/>
    <n v="390"/>
    <n v="2340"/>
    <x v="0"/>
    <s v="Edson"/>
    <s v="Unisex tank top black"/>
    <x v="0"/>
    <n v="2749.36"/>
    <n v="0"/>
  </r>
  <r>
    <s v="1030AT"/>
    <n v="88666"/>
    <d v="2018-10-26T00:00:00"/>
    <n v="8030"/>
    <n v="116"/>
    <m/>
    <n v="260"/>
    <n v="1560"/>
    <x v="0"/>
    <s v="Edson"/>
    <s v="Unisex tank top white"/>
    <x v="0"/>
    <n v="1832.9"/>
    <n v="0"/>
  </r>
  <r>
    <s v="1040DE"/>
    <n v="44030"/>
    <d v="2018-10-04T00:00:00"/>
    <n v="8060"/>
    <n v="108"/>
    <s v=""/>
    <n v="60"/>
    <n v="1680"/>
    <x v="1"/>
    <s v="Liebher"/>
    <s v="Laptop bag black"/>
    <x v="0"/>
    <n v="1973.9"/>
    <n v="0"/>
  </r>
  <r>
    <s v="1040DE"/>
    <n v="44030"/>
    <d v="2018-10-04T00:00:00"/>
    <n v="8060"/>
    <n v="109"/>
    <n v="1"/>
    <n v="60"/>
    <n v="1680"/>
    <x v="1"/>
    <s v="Liebher"/>
    <s v="Laptop bag red"/>
    <x v="0"/>
    <n v="1973.9"/>
    <n v="1.6339869281045751E-4"/>
  </r>
  <r>
    <s v="1040DE"/>
    <n v="44032"/>
    <d v="2018-10-07T00:00:00"/>
    <n v="8060"/>
    <n v="108"/>
    <s v=""/>
    <n v="60"/>
    <n v="1680"/>
    <x v="1"/>
    <s v="Liebher"/>
    <s v="Laptop bag black"/>
    <x v="0"/>
    <n v="1973.9"/>
    <n v="0"/>
  </r>
  <r>
    <s v="1040DE"/>
    <n v="44032"/>
    <d v="2018-10-07T00:00:00"/>
    <n v="8060"/>
    <n v="109"/>
    <m/>
    <n v="70"/>
    <n v="1960"/>
    <x v="1"/>
    <s v="Liebher"/>
    <s v="Laptop bag red"/>
    <x v="0"/>
    <n v="2302.88"/>
    <n v="0"/>
  </r>
  <r>
    <s v="1040DE"/>
    <n v="44031"/>
    <d v="2018-10-08T00:00:00"/>
    <n v="8050"/>
    <n v="108"/>
    <s v=""/>
    <n v="60"/>
    <n v="1680"/>
    <x v="1"/>
    <s v="Aida GmbH"/>
    <s v="Laptop bag black"/>
    <x v="0"/>
    <n v="1973.9"/>
    <n v="0"/>
  </r>
  <r>
    <s v="1040DE"/>
    <n v="44031"/>
    <d v="2018-10-08T00:00:00"/>
    <n v="8050"/>
    <n v="109"/>
    <s v=""/>
    <n v="50"/>
    <n v="1400"/>
    <x v="1"/>
    <s v="Aida GmbH"/>
    <s v="Laptop bag red"/>
    <x v="0"/>
    <n v="1644.91"/>
    <n v="0"/>
  </r>
  <r>
    <s v="1040DE"/>
    <n v="44031"/>
    <d v="2018-10-08T00:00:00"/>
    <n v="8050"/>
    <n v="110"/>
    <s v=""/>
    <n v="60"/>
    <n v="3600"/>
    <x v="1"/>
    <s v="Aida GmbH"/>
    <s v="Smartphone case diamond"/>
    <x v="0"/>
    <n v="4229.78"/>
    <n v="0"/>
  </r>
  <r>
    <s v="1040DE"/>
    <n v="48112"/>
    <d v="2018-10-11T00:00:00"/>
    <n v="8060"/>
    <n v="109"/>
    <m/>
    <n v="60"/>
    <n v="1680"/>
    <x v="1"/>
    <s v="Liebher"/>
    <s v="Laptop bag red"/>
    <x v="0"/>
    <n v="1973.9"/>
    <n v="0"/>
  </r>
  <r>
    <s v="1040DE"/>
    <n v="48112"/>
    <d v="2018-10-11T00:00:00"/>
    <n v="8060"/>
    <n v="110"/>
    <s v=""/>
    <n v="50"/>
    <n v="3000"/>
    <x v="1"/>
    <s v="Liebher"/>
    <s v="Smartphone case diamond"/>
    <x v="0"/>
    <n v="3524.82"/>
    <n v="0"/>
  </r>
  <r>
    <s v="1040DE"/>
    <n v="48114"/>
    <d v="2018-10-11T00:00:00"/>
    <n v="8050"/>
    <n v="109"/>
    <m/>
    <n v="60"/>
    <n v="1680"/>
    <x v="1"/>
    <s v="Aida GmbH"/>
    <s v="Laptop bag red"/>
    <x v="0"/>
    <n v="1973.9"/>
    <n v="0"/>
  </r>
  <r>
    <s v="1040DE"/>
    <n v="48114"/>
    <d v="2018-10-11T00:00:00"/>
    <n v="8050"/>
    <n v="110"/>
    <m/>
    <n v="60"/>
    <n v="3600"/>
    <x v="1"/>
    <s v="Aida GmbH"/>
    <s v="Smartphone case diamond"/>
    <x v="0"/>
    <n v="4229.78"/>
    <n v="0"/>
  </r>
  <r>
    <s v="1040DE"/>
    <n v="48114"/>
    <d v="2018-10-11T00:00:00"/>
    <n v="8050"/>
    <n v="111"/>
    <m/>
    <n v="80"/>
    <n v="1600"/>
    <x v="1"/>
    <s v="Aida GmbH"/>
    <s v="Smartphone case simple"/>
    <x v="0"/>
    <n v="1879.9"/>
    <n v="0"/>
  </r>
  <r>
    <s v="1040DE"/>
    <n v="48116"/>
    <d v="2018-10-11T00:00:00"/>
    <n v="8060"/>
    <n v="109"/>
    <m/>
    <n v="60"/>
    <n v="1680"/>
    <x v="1"/>
    <s v="Liebher"/>
    <s v="Laptop bag red"/>
    <x v="0"/>
    <n v="1973.9"/>
    <n v="0"/>
  </r>
  <r>
    <s v="1040DE"/>
    <n v="48116"/>
    <d v="2018-10-11T00:00:00"/>
    <n v="8060"/>
    <n v="110"/>
    <m/>
    <n v="60"/>
    <n v="3600"/>
    <x v="1"/>
    <s v="Liebher"/>
    <s v="Smartphone case diamond"/>
    <x v="0"/>
    <n v="4229.78"/>
    <n v="0"/>
  </r>
  <r>
    <s v="1040DE"/>
    <n v="45442"/>
    <d v="2018-10-15T00:00:00"/>
    <n v="8050"/>
    <n v="108"/>
    <m/>
    <n v="50"/>
    <n v="1400"/>
    <x v="1"/>
    <s v="Aida GmbH"/>
    <s v="Laptop bag black"/>
    <x v="0"/>
    <n v="1644.91"/>
    <n v="0"/>
  </r>
  <r>
    <s v="1040DE"/>
    <n v="45442"/>
    <d v="2018-10-15T00:00:00"/>
    <n v="8050"/>
    <n v="109"/>
    <n v="1"/>
    <n v="60"/>
    <n v="1680"/>
    <x v="1"/>
    <s v="Aida GmbH"/>
    <s v="Laptop bag red"/>
    <x v="0"/>
    <n v="1973.9"/>
    <n v="1.6339869281045751E-4"/>
  </r>
  <r>
    <s v="1040DE"/>
    <n v="45444"/>
    <d v="2018-10-15T00:00:00"/>
    <n v="8060"/>
    <n v="108"/>
    <m/>
    <n v="60"/>
    <n v="1680"/>
    <x v="1"/>
    <s v="Liebher"/>
    <s v="Laptop bag black"/>
    <x v="0"/>
    <n v="1973.9"/>
    <n v="0"/>
  </r>
  <r>
    <s v="1040DE"/>
    <n v="45444"/>
    <d v="2018-10-15T00:00:00"/>
    <n v="8060"/>
    <n v="109"/>
    <m/>
    <n v="70"/>
    <n v="1960"/>
    <x v="1"/>
    <s v="Liebher"/>
    <s v="Laptop bag red"/>
    <x v="0"/>
    <n v="2302.88"/>
    <n v="0"/>
  </r>
  <r>
    <s v="1040DE"/>
    <n v="45444"/>
    <d v="2018-10-15T00:00:00"/>
    <n v="8060"/>
    <n v="110"/>
    <m/>
    <n v="60"/>
    <n v="3600"/>
    <x v="1"/>
    <s v="Liebher"/>
    <s v="Smartphone case diamond"/>
    <x v="0"/>
    <n v="4229.78"/>
    <n v="0"/>
  </r>
  <r>
    <s v="1040DE"/>
    <n v="45446"/>
    <d v="2018-10-15T00:00:00"/>
    <n v="8050"/>
    <n v="111"/>
    <m/>
    <n v="80"/>
    <n v="1600"/>
    <x v="1"/>
    <s v="Aida GmbH"/>
    <s v="Smartphone case simple"/>
    <x v="0"/>
    <n v="1879.9"/>
    <n v="0"/>
  </r>
  <r>
    <s v="1040DE"/>
    <n v="45446"/>
    <d v="2018-10-15T00:00:00"/>
    <n v="8050"/>
    <n v="108"/>
    <m/>
    <n v="50"/>
    <n v="1400"/>
    <x v="1"/>
    <s v="Aida GmbH"/>
    <s v="Laptop bag black"/>
    <x v="0"/>
    <n v="1644.91"/>
    <n v="0"/>
  </r>
  <r>
    <s v="1040DE"/>
    <n v="44015"/>
    <d v="2018-10-10T00:00:00"/>
    <n v="8060"/>
    <n v="108"/>
    <m/>
    <n v="60"/>
    <n v="1680"/>
    <x v="1"/>
    <s v="Liebher"/>
    <s v="Laptop bag black"/>
    <x v="0"/>
    <n v="1973.9"/>
    <n v="0"/>
  </r>
  <r>
    <s v="1040DE"/>
    <n v="44015"/>
    <d v="2018-10-10T00:00:00"/>
    <n v="8060"/>
    <n v="109"/>
    <m/>
    <n v="70"/>
    <n v="1960"/>
    <x v="1"/>
    <s v="Liebher"/>
    <s v="Laptop bag red"/>
    <x v="0"/>
    <n v="2302.88"/>
    <n v="0"/>
  </r>
  <r>
    <s v="1040DE"/>
    <n v="44017"/>
    <d v="2018-10-13T00:00:00"/>
    <n v="8060"/>
    <n v="108"/>
    <m/>
    <n v="70"/>
    <n v="1960"/>
    <x v="1"/>
    <s v="Liebher"/>
    <s v="Laptop bag black"/>
    <x v="0"/>
    <n v="2302.88"/>
    <n v="0"/>
  </r>
  <r>
    <s v="1040DE"/>
    <n v="44017"/>
    <d v="2018-10-13T00:00:00"/>
    <n v="8060"/>
    <n v="109"/>
    <m/>
    <n v="70"/>
    <n v="1960"/>
    <x v="1"/>
    <s v="Liebher"/>
    <s v="Laptop bag red"/>
    <x v="0"/>
    <n v="2302.88"/>
    <n v="0"/>
  </r>
  <r>
    <s v="1040DE"/>
    <n v="44016"/>
    <d v="2018-10-14T00:00:00"/>
    <n v="8050"/>
    <n v="108"/>
    <m/>
    <n v="70"/>
    <n v="1960"/>
    <x v="1"/>
    <s v="Aida GmbH"/>
    <s v="Laptop bag black"/>
    <x v="0"/>
    <n v="2302.88"/>
    <n v="0"/>
  </r>
  <r>
    <s v="1040DE"/>
    <n v="44016"/>
    <d v="2018-10-14T00:00:00"/>
    <n v="8050"/>
    <n v="109"/>
    <n v="1"/>
    <n v="60"/>
    <n v="1680"/>
    <x v="1"/>
    <s v="Aida GmbH"/>
    <s v="Laptop bag red"/>
    <x v="0"/>
    <n v="1973.9"/>
    <n v="1.6339869281045751E-4"/>
  </r>
  <r>
    <s v="1040DE"/>
    <n v="44016"/>
    <d v="2018-10-14T00:00:00"/>
    <n v="8050"/>
    <n v="110"/>
    <m/>
    <n v="50"/>
    <n v="3000"/>
    <x v="1"/>
    <s v="Aida GmbH"/>
    <s v="Smartphone case diamond"/>
    <x v="0"/>
    <n v="3524.82"/>
    <n v="0"/>
  </r>
  <r>
    <s v="1040DE"/>
    <n v="48097"/>
    <d v="2018-10-17T00:00:00"/>
    <n v="8060"/>
    <n v="109"/>
    <m/>
    <n v="60"/>
    <n v="1680"/>
    <x v="1"/>
    <s v="Liebher"/>
    <s v="Laptop bag red"/>
    <x v="0"/>
    <n v="1973.9"/>
    <n v="0"/>
  </r>
  <r>
    <s v="1040DE"/>
    <n v="48097"/>
    <d v="2018-10-17T00:00:00"/>
    <n v="8060"/>
    <n v="110"/>
    <m/>
    <n v="70"/>
    <n v="4200"/>
    <x v="1"/>
    <s v="Liebher"/>
    <s v="Smartphone case diamond"/>
    <x v="0"/>
    <n v="4934.74"/>
    <n v="0"/>
  </r>
  <r>
    <s v="1040DE"/>
    <n v="48099"/>
    <d v="2018-10-17T00:00:00"/>
    <n v="8050"/>
    <n v="109"/>
    <n v="1"/>
    <n v="60"/>
    <n v="1680"/>
    <x v="1"/>
    <s v="Aida GmbH"/>
    <s v="Laptop bag red"/>
    <x v="0"/>
    <n v="1973.9"/>
    <n v="1.6339869281045751E-4"/>
  </r>
  <r>
    <s v="1040DE"/>
    <n v="48099"/>
    <d v="2018-10-17T00:00:00"/>
    <n v="8050"/>
    <n v="110"/>
    <m/>
    <n v="60"/>
    <n v="3600"/>
    <x v="1"/>
    <s v="Aida GmbH"/>
    <s v="Smartphone case diamond"/>
    <x v="0"/>
    <n v="4229.78"/>
    <n v="0"/>
  </r>
  <r>
    <s v="1040DE"/>
    <n v="48099"/>
    <d v="2018-10-17T00:00:00"/>
    <n v="8050"/>
    <n v="111"/>
    <m/>
    <n v="60"/>
    <n v="1200"/>
    <x v="1"/>
    <s v="Aida GmbH"/>
    <s v="Smartphone case simple"/>
    <x v="0"/>
    <n v="1409.93"/>
    <n v="0"/>
  </r>
  <r>
    <s v="1040DE"/>
    <n v="48101"/>
    <d v="2018-10-17T00:00:00"/>
    <n v="8060"/>
    <n v="109"/>
    <m/>
    <n v="60"/>
    <n v="1680"/>
    <x v="1"/>
    <s v="Liebher"/>
    <s v="Laptop bag red"/>
    <x v="0"/>
    <n v="1973.9"/>
    <n v="0"/>
  </r>
  <r>
    <s v="1040DE"/>
    <n v="48101"/>
    <d v="2018-10-17T00:00:00"/>
    <n v="8060"/>
    <n v="110"/>
    <m/>
    <n v="50"/>
    <n v="3000"/>
    <x v="1"/>
    <s v="Liebher"/>
    <s v="Smartphone case diamond"/>
    <x v="0"/>
    <n v="3524.82"/>
    <n v="0"/>
  </r>
  <r>
    <s v="1040DE"/>
    <n v="45427"/>
    <d v="2018-10-21T00:00:00"/>
    <n v="8050"/>
    <n v="108"/>
    <m/>
    <n v="70"/>
    <n v="1960"/>
    <x v="1"/>
    <s v="Aida GmbH"/>
    <s v="Laptop bag black"/>
    <x v="0"/>
    <n v="2302.88"/>
    <n v="0"/>
  </r>
  <r>
    <s v="1040DE"/>
    <n v="45427"/>
    <d v="2018-10-21T00:00:00"/>
    <n v="8050"/>
    <n v="109"/>
    <m/>
    <n v="60"/>
    <n v="1680"/>
    <x v="1"/>
    <s v="Aida GmbH"/>
    <s v="Laptop bag red"/>
    <x v="0"/>
    <n v="1973.9"/>
    <n v="0"/>
  </r>
  <r>
    <s v="1040DE"/>
    <n v="45429"/>
    <d v="2018-10-21T00:00:00"/>
    <n v="8060"/>
    <n v="108"/>
    <m/>
    <n v="80"/>
    <n v="2240"/>
    <x v="1"/>
    <s v="Liebher"/>
    <s v="Laptop bag black"/>
    <x v="0"/>
    <n v="2631.86"/>
    <n v="0"/>
  </r>
  <r>
    <s v="1040DE"/>
    <n v="45429"/>
    <d v="2018-10-21T00:00:00"/>
    <n v="8060"/>
    <n v="109"/>
    <n v="2"/>
    <n v="80"/>
    <n v="2240"/>
    <x v="1"/>
    <s v="Liebher"/>
    <s v="Laptop bag red"/>
    <x v="0"/>
    <n v="2631.86"/>
    <n v="3.2679738562091501E-4"/>
  </r>
  <r>
    <s v="1040DE"/>
    <n v="45429"/>
    <d v="2018-10-21T00:00:00"/>
    <n v="8060"/>
    <n v="110"/>
    <m/>
    <n v="50"/>
    <n v="3000"/>
    <x v="1"/>
    <s v="Liebher"/>
    <s v="Smartphone case diamond"/>
    <x v="0"/>
    <n v="3524.82"/>
    <n v="0"/>
  </r>
  <r>
    <s v="1040DE"/>
    <n v="45431"/>
    <d v="2018-10-21T00:00:00"/>
    <n v="8050"/>
    <n v="111"/>
    <m/>
    <n v="60"/>
    <n v="1200"/>
    <x v="1"/>
    <s v="Aida GmbH"/>
    <s v="Smartphone case simple"/>
    <x v="0"/>
    <n v="1409.93"/>
    <n v="0"/>
  </r>
  <r>
    <s v="1040DE"/>
    <n v="45431"/>
    <d v="2018-10-21T00:00:00"/>
    <n v="8050"/>
    <n v="108"/>
    <m/>
    <n v="60"/>
    <n v="1680"/>
    <x v="1"/>
    <s v="Aida GmbH"/>
    <s v="Laptop bag black"/>
    <x v="0"/>
    <n v="1973.9"/>
    <n v="0"/>
  </r>
  <r>
    <s v="1020US"/>
    <n v="24030"/>
    <d v="2018-10-02T00:00:00"/>
    <n v="8020"/>
    <n v="101"/>
    <n v="1"/>
    <n v="130"/>
    <n v="1560"/>
    <x v="2"/>
    <s v="Erma"/>
    <s v="Men type T simple white"/>
    <x v="1"/>
    <n v="1560"/>
    <n v="1.6339869281045751E-4"/>
  </r>
  <r>
    <s v="1020US"/>
    <n v="24030"/>
    <d v="2018-10-02T00:00:00"/>
    <n v="8020"/>
    <n v="102"/>
    <m/>
    <n v="30"/>
    <n v="360"/>
    <x v="2"/>
    <s v="Erma"/>
    <s v="Men type T simple black"/>
    <x v="1"/>
    <n v="360"/>
    <n v="0"/>
  </r>
  <r>
    <s v="1020US"/>
    <n v="24030"/>
    <d v="2018-10-02T00:00:00"/>
    <n v="8020"/>
    <n v="106"/>
    <s v=""/>
    <n v="60"/>
    <n v="300"/>
    <x v="2"/>
    <s v="Erma"/>
    <s v="Men basics"/>
    <x v="1"/>
    <n v="300"/>
    <n v="0"/>
  </r>
  <r>
    <s v="1020US"/>
    <n v="24030"/>
    <d v="2018-10-02T00:00:00"/>
    <n v="8020"/>
    <n v="108"/>
    <m/>
    <n v="80"/>
    <n v="2240"/>
    <x v="2"/>
    <s v="Erma"/>
    <s v="Laptop bag black"/>
    <x v="1"/>
    <n v="2240"/>
    <n v="0"/>
  </r>
  <r>
    <s v="1020US"/>
    <n v="24031"/>
    <d v="2018-10-08T00:00:00"/>
    <n v="8020"/>
    <n v="101"/>
    <s v=""/>
    <n v="100"/>
    <n v="1200"/>
    <x v="2"/>
    <s v="Erma"/>
    <s v="Men type T simple white"/>
    <x v="1"/>
    <n v="1200"/>
    <n v="0"/>
  </r>
  <r>
    <s v="1020US"/>
    <n v="24031"/>
    <d v="2018-10-08T00:00:00"/>
    <n v="8020"/>
    <n v="108"/>
    <s v=""/>
    <n v="20"/>
    <n v="560"/>
    <x v="2"/>
    <s v="Erma"/>
    <s v="Laptop bag black"/>
    <x v="1"/>
    <n v="560"/>
    <n v="0"/>
  </r>
  <r>
    <s v="1020US"/>
    <n v="24031"/>
    <d v="2018-10-08T00:00:00"/>
    <n v="8020"/>
    <n v="113"/>
    <s v=""/>
    <n v="100"/>
    <n v="2500"/>
    <x v="2"/>
    <s v="Erma"/>
    <s v="Men dress shirt black"/>
    <x v="1"/>
    <n v="2500"/>
    <n v="0"/>
  </r>
  <r>
    <s v="1020US"/>
    <n v="28112"/>
    <d v="2018-10-12T00:00:00"/>
    <n v="8020"/>
    <n v="114"/>
    <n v="1"/>
    <n v="50"/>
    <n v="1250"/>
    <x v="2"/>
    <s v="Erma"/>
    <s v="Men dress shirt grey"/>
    <x v="1"/>
    <n v="1250"/>
    <n v="1.6339869281045751E-4"/>
  </r>
  <r>
    <s v="1020US"/>
    <n v="28112"/>
    <d v="2018-10-12T00:00:00"/>
    <n v="8020"/>
    <n v="101"/>
    <s v=""/>
    <n v="40"/>
    <n v="480"/>
    <x v="2"/>
    <s v="Erma"/>
    <s v="Men type T simple white"/>
    <x v="1"/>
    <n v="480"/>
    <n v="0"/>
  </r>
  <r>
    <s v="1020US"/>
    <n v="28112"/>
    <d v="2018-10-12T00:00:00"/>
    <n v="8020"/>
    <n v="102"/>
    <m/>
    <n v="70"/>
    <n v="840"/>
    <x v="2"/>
    <s v="Erma"/>
    <s v="Men type T simple black"/>
    <x v="1"/>
    <n v="840"/>
    <n v="0"/>
  </r>
  <r>
    <s v="1020US"/>
    <n v="28112"/>
    <d v="2018-10-12T00:00:00"/>
    <n v="8020"/>
    <n v="106"/>
    <m/>
    <n v="70"/>
    <n v="350"/>
    <x v="2"/>
    <s v="Erma"/>
    <s v="Men basics"/>
    <x v="1"/>
    <n v="350"/>
    <n v="0"/>
  </r>
  <r>
    <s v="1020US"/>
    <n v="28112"/>
    <d v="2018-10-12T00:00:00"/>
    <n v="8020"/>
    <n v="108"/>
    <m/>
    <n v="10"/>
    <n v="280"/>
    <x v="2"/>
    <s v="Erma"/>
    <s v="Laptop bag black"/>
    <x v="1"/>
    <n v="280"/>
    <n v="0"/>
  </r>
  <r>
    <s v="1020US"/>
    <n v="28112"/>
    <d v="2018-10-12T00:00:00"/>
    <n v="8020"/>
    <n v="117"/>
    <m/>
    <n v="80"/>
    <n v="1440"/>
    <x v="2"/>
    <s v="Erma"/>
    <s v="Men shorts grey"/>
    <x v="1"/>
    <n v="1440"/>
    <n v="0"/>
  </r>
  <r>
    <s v="1020US"/>
    <n v="28112"/>
    <d v="2018-10-12T00:00:00"/>
    <n v="8020"/>
    <n v="118"/>
    <m/>
    <n v="70"/>
    <n v="1260"/>
    <x v="2"/>
    <s v="Erma"/>
    <s v="Men shorts black"/>
    <x v="1"/>
    <n v="1260"/>
    <n v="0"/>
  </r>
  <r>
    <s v="1020US"/>
    <n v="25442"/>
    <d v="2018-10-16T00:00:00"/>
    <n v="8010"/>
    <n v="118"/>
    <m/>
    <n v="70"/>
    <n v="1260"/>
    <x v="2"/>
    <s v="Dellicia"/>
    <s v="Men shorts black"/>
    <x v="1"/>
    <n v="1260"/>
    <n v="0"/>
  </r>
  <r>
    <s v="1020US"/>
    <n v="25442"/>
    <d v="2018-10-16T00:00:00"/>
    <n v="8010"/>
    <n v="117"/>
    <n v="6"/>
    <n v="80"/>
    <n v="1440"/>
    <x v="2"/>
    <s v="Dellicia"/>
    <s v="Men shorts grey"/>
    <x v="1"/>
    <n v="1440"/>
    <n v="9.8039215686274508E-4"/>
  </r>
  <r>
    <s v="1020US"/>
    <n v="25442"/>
    <d v="2018-10-16T00:00:00"/>
    <n v="8010"/>
    <n v="118"/>
    <m/>
    <n v="70"/>
    <n v="1260"/>
    <x v="2"/>
    <s v="Dellicia"/>
    <s v="Men shorts black"/>
    <x v="1"/>
    <n v="1260"/>
    <n v="0"/>
  </r>
  <r>
    <s v="1020US"/>
    <n v="25442"/>
    <d v="2018-10-16T00:00:00"/>
    <n v="8010"/>
    <n v="116"/>
    <n v="1"/>
    <n v="60"/>
    <n v="360"/>
    <x v="2"/>
    <s v="Dellicia"/>
    <s v="Unisex tank top white"/>
    <x v="1"/>
    <n v="360"/>
    <n v="1.6339869281045751E-4"/>
  </r>
  <r>
    <s v="1020US"/>
    <n v="25442"/>
    <d v="2018-10-16T00:00:00"/>
    <n v="8010"/>
    <n v="106"/>
    <m/>
    <n v="20"/>
    <n v="100"/>
    <x v="2"/>
    <s v="Dellicia"/>
    <s v="Men basics"/>
    <x v="1"/>
    <n v="100"/>
    <n v="0"/>
  </r>
  <r>
    <s v="1020US"/>
    <n v="25442"/>
    <d v="2018-10-16T00:00:00"/>
    <n v="8010"/>
    <n v="101"/>
    <m/>
    <n v="40"/>
    <n v="480"/>
    <x v="2"/>
    <s v="Dellicia"/>
    <s v="Men type T simple white"/>
    <x v="1"/>
    <n v="480"/>
    <n v="0"/>
  </r>
  <r>
    <s v="1020US"/>
    <n v="25442"/>
    <d v="2018-10-16T00:00:00"/>
    <n v="8010"/>
    <n v="102"/>
    <m/>
    <n v="10"/>
    <n v="120"/>
    <x v="2"/>
    <s v="Dellicia"/>
    <s v="Men type T simple black"/>
    <x v="1"/>
    <n v="120"/>
    <n v="0"/>
  </r>
  <r>
    <s v="1010US"/>
    <n v="66030"/>
    <d v="2018-10-04T00:00:00"/>
    <n v="8010"/>
    <n v="103"/>
    <s v=""/>
    <n v="120"/>
    <n v="1440"/>
    <x v="3"/>
    <s v="Dellicia"/>
    <s v="Women type T simple white"/>
    <x v="1"/>
    <n v="1440"/>
    <n v="0"/>
  </r>
  <r>
    <s v="1010US"/>
    <n v="66030"/>
    <d v="2018-10-04T00:00:00"/>
    <n v="8010"/>
    <n v="104"/>
    <m/>
    <n v="150"/>
    <n v="1800"/>
    <x v="3"/>
    <s v="Dellicia"/>
    <s v="Women type T simple black"/>
    <x v="1"/>
    <n v="1800"/>
    <n v="0"/>
  </r>
  <r>
    <s v="1010US"/>
    <n v="66032"/>
    <d v="2018-10-07T00:00:00"/>
    <n v="8010"/>
    <n v="103"/>
    <m/>
    <n v="170"/>
    <n v="2040"/>
    <x v="3"/>
    <s v="Dellicia"/>
    <s v="Women type T simple white"/>
    <x v="1"/>
    <n v="2040"/>
    <n v="0"/>
  </r>
  <r>
    <s v="1010US"/>
    <n v="66032"/>
    <d v="2018-10-07T00:00:00"/>
    <n v="8010"/>
    <n v="104"/>
    <m/>
    <n v="140"/>
    <n v="1680"/>
    <x v="3"/>
    <s v="Dellicia"/>
    <s v="Women type T simple black"/>
    <x v="1"/>
    <n v="1680"/>
    <n v="0"/>
  </r>
  <r>
    <s v="1010US"/>
    <n v="66031"/>
    <d v="2018-10-08T00:00:00"/>
    <n v="8020"/>
    <n v="103"/>
    <n v="1"/>
    <n v="140"/>
    <n v="1680"/>
    <x v="3"/>
    <s v="Erma"/>
    <s v="Women type T simple white"/>
    <x v="1"/>
    <n v="1680"/>
    <n v="1.6339869281045751E-4"/>
  </r>
  <r>
    <s v="1010US"/>
    <n v="66031"/>
    <d v="2018-10-08T00:00:00"/>
    <n v="8020"/>
    <n v="104"/>
    <m/>
    <n v="150"/>
    <n v="1800"/>
    <x v="3"/>
    <s v="Erma"/>
    <s v="Women type T simple black"/>
    <x v="1"/>
    <n v="1800"/>
    <n v="0"/>
  </r>
  <r>
    <s v="1010US"/>
    <n v="66031"/>
    <d v="2018-10-08T00:00:00"/>
    <n v="8020"/>
    <n v="105"/>
    <m/>
    <n v="100"/>
    <n v="1000"/>
    <x v="3"/>
    <s v="Erma"/>
    <s v="Women crop top black"/>
    <x v="1"/>
    <n v="1000"/>
    <n v="0"/>
  </r>
  <r>
    <s v="1010US"/>
    <n v="68112"/>
    <d v="2018-10-11T00:00:00"/>
    <n v="8010"/>
    <n v="104"/>
    <n v="4"/>
    <n v="180"/>
    <n v="2160"/>
    <x v="3"/>
    <s v="Dellicia"/>
    <s v="Women type T simple black"/>
    <x v="1"/>
    <n v="2160"/>
    <n v="6.5359477124183002E-4"/>
  </r>
  <r>
    <s v="1010US"/>
    <n v="68112"/>
    <d v="2018-10-11T00:00:00"/>
    <n v="8010"/>
    <n v="105"/>
    <m/>
    <n v="120"/>
    <n v="1200"/>
    <x v="3"/>
    <s v="Dellicia"/>
    <s v="Women crop top black"/>
    <x v="1"/>
    <n v="1200"/>
    <n v="0"/>
  </r>
  <r>
    <s v="1010US"/>
    <n v="68116"/>
    <d v="2018-10-11T00:00:00"/>
    <n v="8020"/>
    <n v="104"/>
    <m/>
    <n v="150"/>
    <n v="1800"/>
    <x v="3"/>
    <s v="Erma"/>
    <s v="Women type T simple black"/>
    <x v="1"/>
    <n v="1800"/>
    <n v="0"/>
  </r>
  <r>
    <s v="1010US"/>
    <n v="68116"/>
    <d v="2018-10-11T00:00:00"/>
    <n v="8020"/>
    <n v="105"/>
    <m/>
    <n v="190"/>
    <n v="1900"/>
    <x v="3"/>
    <s v="Erma"/>
    <s v="Women crop top black"/>
    <x v="1"/>
    <n v="1900"/>
    <n v="0"/>
  </r>
  <r>
    <s v="1010US"/>
    <n v="68116"/>
    <d v="2018-10-11T00:00:00"/>
    <n v="8020"/>
    <n v="107"/>
    <n v="2"/>
    <n v="160"/>
    <n v="800"/>
    <x v="3"/>
    <s v="Erma"/>
    <s v="Women basics"/>
    <x v="1"/>
    <n v="800"/>
    <n v="3.2679738562091501E-4"/>
  </r>
  <r>
    <s v="1010US"/>
    <n v="68116"/>
    <d v="2018-10-11T00:00:00"/>
    <n v="8010"/>
    <n v="104"/>
    <m/>
    <n v="160"/>
    <n v="1920"/>
    <x v="3"/>
    <s v="Dellicia"/>
    <s v="Women type T simple black"/>
    <x v="1"/>
    <n v="1920"/>
    <n v="0"/>
  </r>
  <r>
    <s v="1010US"/>
    <n v="68116"/>
    <d v="2018-10-11T00:00:00"/>
    <n v="8010"/>
    <n v="105"/>
    <m/>
    <n v="190"/>
    <n v="1900"/>
    <x v="3"/>
    <s v="Dellicia"/>
    <s v="Women crop top black"/>
    <x v="1"/>
    <n v="1900"/>
    <n v="0"/>
  </r>
  <r>
    <s v="1010US"/>
    <n v="65662"/>
    <d v="2018-10-15T00:00:00"/>
    <n v="8020"/>
    <n v="103"/>
    <m/>
    <n v="120"/>
    <n v="1440"/>
    <x v="3"/>
    <s v="Erma"/>
    <s v="Women type T simple white"/>
    <x v="1"/>
    <n v="1440"/>
    <n v="0"/>
  </r>
  <r>
    <s v="1010US"/>
    <n v="65662"/>
    <d v="2018-10-15T00:00:00"/>
    <n v="8020"/>
    <n v="104"/>
    <m/>
    <n v="110"/>
    <n v="1320"/>
    <x v="3"/>
    <s v="Erma"/>
    <s v="Women type T simple black"/>
    <x v="1"/>
    <n v="1320"/>
    <n v="0"/>
  </r>
  <r>
    <s v="1010US"/>
    <n v="65666"/>
    <d v="2018-10-15T00:00:00"/>
    <n v="8010"/>
    <n v="103"/>
    <m/>
    <n v="120"/>
    <n v="1440"/>
    <x v="3"/>
    <s v="Dellicia"/>
    <s v="Women type T simple white"/>
    <x v="1"/>
    <n v="1440"/>
    <n v="0"/>
  </r>
  <r>
    <s v="1010US"/>
    <n v="65666"/>
    <d v="2018-10-15T00:00:00"/>
    <n v="8010"/>
    <n v="104"/>
    <m/>
    <n v="140"/>
    <n v="1680"/>
    <x v="3"/>
    <s v="Dellicia"/>
    <s v="Women type T simple black"/>
    <x v="1"/>
    <n v="1680"/>
    <n v="0"/>
  </r>
  <r>
    <s v="1010US"/>
    <n v="65666"/>
    <d v="2018-10-15T00:00:00"/>
    <n v="8010"/>
    <n v="105"/>
    <m/>
    <n v="160"/>
    <n v="1600"/>
    <x v="3"/>
    <s v="Dellicia"/>
    <s v="Women crop top black"/>
    <x v="1"/>
    <n v="1600"/>
    <n v="0"/>
  </r>
  <r>
    <s v="1010US"/>
    <n v="65666"/>
    <d v="2018-10-15T00:00:00"/>
    <n v="8020"/>
    <n v="107"/>
    <m/>
    <n v="120"/>
    <n v="600"/>
    <x v="3"/>
    <s v="Erma"/>
    <s v="Women basics"/>
    <x v="1"/>
    <n v="600"/>
    <n v="0"/>
  </r>
  <r>
    <s v="1010US"/>
    <n v="65666"/>
    <d v="2018-10-15T00:00:00"/>
    <n v="8020"/>
    <n v="103"/>
    <m/>
    <n v="200"/>
    <n v="2400"/>
    <x v="3"/>
    <s v="Erma"/>
    <s v="Women type T simple white"/>
    <x v="1"/>
    <n v="2400"/>
    <n v="0"/>
  </r>
  <r>
    <s v="1010US"/>
    <n v="66015"/>
    <d v="2018-10-10T00:00:00"/>
    <n v="8010"/>
    <n v="103"/>
    <m/>
    <n v="140"/>
    <n v="1680"/>
    <x v="3"/>
    <s v="Dellicia"/>
    <s v="Women type T simple white"/>
    <x v="1"/>
    <n v="1680"/>
    <n v="0"/>
  </r>
  <r>
    <s v="1010US"/>
    <n v="66015"/>
    <d v="2018-10-10T00:00:00"/>
    <n v="8010"/>
    <n v="104"/>
    <m/>
    <n v="140"/>
    <n v="1680"/>
    <x v="3"/>
    <s v="Dellicia"/>
    <s v="Women type T simple black"/>
    <x v="1"/>
    <n v="1680"/>
    <n v="0"/>
  </r>
  <r>
    <s v="1010US"/>
    <n v="66017"/>
    <d v="2018-10-13T00:00:00"/>
    <n v="8010"/>
    <n v="103"/>
    <m/>
    <n v="140"/>
    <n v="1680"/>
    <x v="3"/>
    <s v="Dellicia"/>
    <s v="Women type T simple white"/>
    <x v="1"/>
    <n v="1680"/>
    <n v="0"/>
  </r>
  <r>
    <s v="1010US"/>
    <n v="66017"/>
    <d v="2018-10-13T00:00:00"/>
    <n v="8010"/>
    <n v="104"/>
    <m/>
    <n v="140"/>
    <n v="1680"/>
    <x v="3"/>
    <s v="Dellicia"/>
    <s v="Women type T simple black"/>
    <x v="1"/>
    <n v="1680"/>
    <n v="0"/>
  </r>
  <r>
    <s v="1010US"/>
    <n v="66016"/>
    <d v="2018-10-14T00:00:00"/>
    <n v="8020"/>
    <n v="103"/>
    <m/>
    <n v="120"/>
    <n v="1440"/>
    <x v="3"/>
    <s v="Erma"/>
    <s v="Women type T simple white"/>
    <x v="1"/>
    <n v="1440"/>
    <n v="0"/>
  </r>
  <r>
    <s v="1010US"/>
    <n v="66016"/>
    <d v="2018-10-14T00:00:00"/>
    <n v="8020"/>
    <n v="104"/>
    <m/>
    <n v="130"/>
    <n v="1560"/>
    <x v="3"/>
    <s v="Erma"/>
    <s v="Women type T simple black"/>
    <x v="1"/>
    <n v="1560"/>
    <n v="0"/>
  </r>
  <r>
    <s v="1010US"/>
    <n v="66016"/>
    <d v="2018-10-14T00:00:00"/>
    <n v="8020"/>
    <n v="105"/>
    <m/>
    <n v="120"/>
    <n v="1200"/>
    <x v="3"/>
    <s v="Erma"/>
    <s v="Women crop top black"/>
    <x v="1"/>
    <n v="1200"/>
    <n v="0"/>
  </r>
  <r>
    <s v="1010US"/>
    <n v="68097"/>
    <d v="2018-10-17T00:00:00"/>
    <n v="8010"/>
    <n v="104"/>
    <m/>
    <n v="140"/>
    <n v="1680"/>
    <x v="3"/>
    <s v="Dellicia"/>
    <s v="Women type T simple black"/>
    <x v="1"/>
    <n v="1680"/>
    <n v="0"/>
  </r>
  <r>
    <s v="1010US"/>
    <n v="68097"/>
    <d v="2018-10-17T00:00:00"/>
    <n v="8010"/>
    <n v="105"/>
    <m/>
    <n v="130"/>
    <n v="1300"/>
    <x v="3"/>
    <s v="Dellicia"/>
    <s v="Women crop top black"/>
    <x v="1"/>
    <n v="1300"/>
    <n v="0"/>
  </r>
  <r>
    <s v="1010US"/>
    <n v="68099"/>
    <d v="2018-10-17T00:00:00"/>
    <n v="8020"/>
    <n v="104"/>
    <m/>
    <n v="120"/>
    <n v="1440"/>
    <x v="3"/>
    <s v="Erma"/>
    <s v="Women type T simple black"/>
    <x v="1"/>
    <n v="1440"/>
    <n v="0"/>
  </r>
  <r>
    <s v="1010US"/>
    <n v="68099"/>
    <d v="2018-10-17T00:00:00"/>
    <n v="8020"/>
    <n v="105"/>
    <n v="2"/>
    <n v="140"/>
    <n v="1400"/>
    <x v="3"/>
    <s v="Erma"/>
    <s v="Women crop top black"/>
    <x v="1"/>
    <n v="1400"/>
    <n v="3.2679738562091501E-4"/>
  </r>
  <r>
    <s v="1010US"/>
    <n v="68099"/>
    <d v="2018-10-17T00:00:00"/>
    <n v="8020"/>
    <n v="107"/>
    <m/>
    <n v="170"/>
    <n v="850"/>
    <x v="3"/>
    <s v="Erma"/>
    <s v="Women basics"/>
    <x v="1"/>
    <n v="850"/>
    <n v="0"/>
  </r>
  <r>
    <s v="1010US"/>
    <n v="68101"/>
    <d v="2018-10-17T00:00:00"/>
    <n v="8010"/>
    <n v="104"/>
    <m/>
    <n v="190"/>
    <n v="2280"/>
    <x v="3"/>
    <s v="Dellicia"/>
    <s v="Women type T simple black"/>
    <x v="1"/>
    <n v="2280"/>
    <n v="0"/>
  </r>
  <r>
    <s v="1010US"/>
    <n v="68101"/>
    <d v="2018-10-17T00:00:00"/>
    <n v="8010"/>
    <n v="105"/>
    <m/>
    <n v="140"/>
    <n v="1400"/>
    <x v="3"/>
    <s v="Dellicia"/>
    <s v="Women crop top black"/>
    <x v="1"/>
    <n v="1400"/>
    <n v="0"/>
  </r>
  <r>
    <s v="1010US"/>
    <n v="65627"/>
    <d v="2018-10-21T00:00:00"/>
    <n v="8020"/>
    <n v="103"/>
    <m/>
    <n v="140"/>
    <n v="1680"/>
    <x v="3"/>
    <s v="Erma"/>
    <s v="Women type T simple white"/>
    <x v="1"/>
    <n v="1680"/>
    <n v="0"/>
  </r>
  <r>
    <s v="1010US"/>
    <n v="65627"/>
    <d v="2018-10-21T00:00:00"/>
    <n v="8020"/>
    <n v="104"/>
    <n v="3"/>
    <n v="160"/>
    <n v="1920"/>
    <x v="3"/>
    <s v="Erma"/>
    <s v="Women type T simple black"/>
    <x v="1"/>
    <n v="1920"/>
    <n v="4.9019607843137254E-4"/>
  </r>
  <r>
    <s v="1010US"/>
    <n v="65629"/>
    <d v="2018-10-21T00:00:00"/>
    <n v="8010"/>
    <n v="103"/>
    <m/>
    <n v="190"/>
    <n v="2280"/>
    <x v="3"/>
    <s v="Dellicia"/>
    <s v="Women type T simple white"/>
    <x v="1"/>
    <n v="2280"/>
    <n v="0"/>
  </r>
  <r>
    <s v="1010US"/>
    <n v="65629"/>
    <d v="2018-10-21T00:00:00"/>
    <n v="8010"/>
    <n v="104"/>
    <m/>
    <n v="130"/>
    <n v="1560"/>
    <x v="3"/>
    <s v="Dellicia"/>
    <s v="Women type T simple black"/>
    <x v="1"/>
    <n v="1560"/>
    <n v="0"/>
  </r>
  <r>
    <s v="1010US"/>
    <n v="65629"/>
    <d v="2018-10-21T00:00:00"/>
    <n v="8010"/>
    <n v="105"/>
    <m/>
    <n v="140"/>
    <n v="1400"/>
    <x v="3"/>
    <s v="Dellicia"/>
    <s v="Women crop top black"/>
    <x v="1"/>
    <n v="1400"/>
    <n v="0"/>
  </r>
  <r>
    <s v="1010US"/>
    <n v="65631"/>
    <d v="2018-10-21T00:00:00"/>
    <n v="8020"/>
    <n v="107"/>
    <m/>
    <n v="190"/>
    <n v="950"/>
    <x v="3"/>
    <s v="Erma"/>
    <s v="Women basics"/>
    <x v="1"/>
    <n v="950"/>
    <n v="0"/>
  </r>
  <r>
    <s v="1010US"/>
    <n v="65631"/>
    <d v="2018-10-21T00:00:00"/>
    <n v="8020"/>
    <n v="103"/>
    <m/>
    <n v="120"/>
    <n v="1440"/>
    <x v="3"/>
    <s v="Erma"/>
    <s v="Women type T simple white"/>
    <x v="1"/>
    <n v="144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1030AT"/>
    <n v="84030"/>
    <d v="2018-10-07T00:00:00"/>
    <n v="8050"/>
    <n v="120"/>
    <s v=""/>
    <n v="120"/>
    <n v="6960"/>
    <x v="0"/>
    <s v="Aida GmbH"/>
    <s v="Women evening dress Cocktail red"/>
    <x v="0"/>
    <n v="8177.58"/>
    <n v="0"/>
  </r>
  <r>
    <s v="1030AT"/>
    <n v="84030"/>
    <d v="2018-10-07T00:00:00"/>
    <n v="8050"/>
    <n v="104"/>
    <n v="1"/>
    <n v="430"/>
    <n v="5160"/>
    <x v="0"/>
    <s v="Aida GmbH"/>
    <s v="Women type T simple black"/>
    <x v="0"/>
    <n v="6062.69"/>
    <n v="1.6339869281045751E-4"/>
  </r>
  <r>
    <s v="1030AT"/>
    <n v="84030"/>
    <d v="2018-10-07T00:00:00"/>
    <n v="8050"/>
    <n v="105"/>
    <s v=""/>
    <n v="120"/>
    <n v="1200"/>
    <x v="0"/>
    <s v="Aida GmbH"/>
    <s v="Women crop top black"/>
    <x v="0"/>
    <n v="1409.93"/>
    <n v="0"/>
  </r>
  <r>
    <s v="1030AT"/>
    <n v="84030"/>
    <d v="2018-10-07T00:00:00"/>
    <n v="8050"/>
    <n v="107"/>
    <n v="1"/>
    <n v="690"/>
    <n v="3450"/>
    <x v="0"/>
    <s v="Aida GmbH"/>
    <s v="Women basics"/>
    <x v="0"/>
    <n v="4053.54"/>
    <n v="1.6339869281045751E-4"/>
  </r>
  <r>
    <s v="1030AT"/>
    <n v="84031"/>
    <d v="2018-10-08T00:00:00"/>
    <n v="8040"/>
    <n v="104"/>
    <s v=""/>
    <n v="870"/>
    <n v="10440"/>
    <x v="0"/>
    <s v="Werner Strauss"/>
    <s v="Women type T simple black"/>
    <x v="0"/>
    <n v="12266.36"/>
    <n v="0"/>
  </r>
  <r>
    <s v="1030AT"/>
    <n v="84031"/>
    <d v="2018-10-08T00:00:00"/>
    <n v="8040"/>
    <n v="107"/>
    <s v=""/>
    <n v="760"/>
    <n v="3800"/>
    <x v="0"/>
    <s v="Werner Strauss"/>
    <s v="Women basics"/>
    <x v="0"/>
    <n v="4464.7700000000004"/>
    <n v="0"/>
  </r>
  <r>
    <s v="1030AT"/>
    <n v="84031"/>
    <d v="2018-10-08T00:00:00"/>
    <n v="8040"/>
    <n v="110"/>
    <n v="2"/>
    <n v="500"/>
    <n v="30000"/>
    <x v="0"/>
    <s v="Werner Strauss"/>
    <s v="Smartphone case diamond"/>
    <x v="0"/>
    <n v="35248.17"/>
    <n v="3.2679738562091501E-4"/>
  </r>
  <r>
    <s v="1030AT"/>
    <n v="88112"/>
    <d v="2018-10-11T00:00:00"/>
    <n v="8040"/>
    <n v="110"/>
    <m/>
    <n v="480"/>
    <n v="28800"/>
    <x v="0"/>
    <s v="Werner Strauss"/>
    <s v="Smartphone case diamond"/>
    <x v="0"/>
    <n v="33838.239999999998"/>
    <n v="0"/>
  </r>
  <r>
    <s v="1030AT"/>
    <n v="88112"/>
    <d v="2018-10-11T00:00:00"/>
    <n v="8040"/>
    <n v="119"/>
    <s v=""/>
    <n v="630"/>
    <n v="39060"/>
    <x v="0"/>
    <s v="Werner Strauss"/>
    <s v="Women evening dress long black"/>
    <x v="0"/>
    <n v="45893.120000000003"/>
    <n v="0"/>
  </r>
  <r>
    <s v="1030AT"/>
    <n v="88112"/>
    <d v="2018-10-11T00:00:00"/>
    <n v="8040"/>
    <n v="120"/>
    <m/>
    <n v="150"/>
    <n v="8700"/>
    <x v="0"/>
    <s v="Werner Strauss"/>
    <s v="Women evening dress Cocktail red"/>
    <x v="0"/>
    <n v="10221.969999999999"/>
    <n v="0"/>
  </r>
  <r>
    <s v="1030AT"/>
    <n v="88112"/>
    <d v="2018-10-11T00:00:00"/>
    <n v="8040"/>
    <n v="116"/>
    <n v="4"/>
    <n v="760"/>
    <n v="4560"/>
    <x v="0"/>
    <s v="Werner Strauss"/>
    <s v="Unisex tank top white"/>
    <x v="0"/>
    <n v="5357.72"/>
    <n v="6.5359477124183002E-4"/>
  </r>
  <r>
    <s v="1030AT"/>
    <n v="88112"/>
    <d v="2018-10-11T00:00:00"/>
    <n v="8040"/>
    <n v="111"/>
    <m/>
    <n v="590"/>
    <n v="11800"/>
    <x v="0"/>
    <s v="Werner Strauss"/>
    <s v="Smartphone case simple"/>
    <x v="0"/>
    <n v="13864.28"/>
    <n v="0"/>
  </r>
  <r>
    <s v="1030AT"/>
    <n v="88112"/>
    <d v="2018-10-11T00:00:00"/>
    <n v="8040"/>
    <n v="110"/>
    <m/>
    <n v="530"/>
    <n v="31800"/>
    <x v="0"/>
    <s v="Werner Strauss"/>
    <s v="Smartphone case diamond"/>
    <x v="0"/>
    <n v="37363.06"/>
    <n v="0"/>
  </r>
  <r>
    <s v="1030AT"/>
    <n v="88112"/>
    <d v="2018-10-11T00:00:00"/>
    <n v="8040"/>
    <n v="109"/>
    <m/>
    <n v="260"/>
    <n v="7280"/>
    <x v="0"/>
    <s v="Werner Strauss"/>
    <s v="Laptop bag red"/>
    <x v="0"/>
    <n v="8553.56"/>
    <n v="0"/>
  </r>
  <r>
    <s v="1030AT"/>
    <n v="85442"/>
    <d v="2018-10-15T00:00:00"/>
    <n v="8050"/>
    <n v="107"/>
    <m/>
    <n v="270"/>
    <n v="1350"/>
    <x v="0"/>
    <s v="Aida GmbH"/>
    <s v="Women basics"/>
    <x v="0"/>
    <n v="1586.17"/>
    <n v="0"/>
  </r>
  <r>
    <s v="1030AT"/>
    <n v="85442"/>
    <d v="2018-10-15T00:00:00"/>
    <n v="8050"/>
    <n v="103"/>
    <m/>
    <n v="630"/>
    <n v="7560"/>
    <x v="0"/>
    <s v="Aida GmbH"/>
    <s v="Women type T simple white"/>
    <x v="0"/>
    <n v="8882.5400000000009"/>
    <n v="0"/>
  </r>
  <r>
    <s v="1030AT"/>
    <n v="85442"/>
    <d v="2018-10-15T00:00:00"/>
    <n v="8050"/>
    <n v="104"/>
    <m/>
    <n v="440"/>
    <n v="5280"/>
    <x v="0"/>
    <s v="Aida GmbH"/>
    <s v="Women type T simple black"/>
    <x v="0"/>
    <n v="6203.68"/>
    <n v="0"/>
  </r>
  <r>
    <s v="1030AT"/>
    <n v="85442"/>
    <d v="2018-10-15T00:00:00"/>
    <n v="8050"/>
    <n v="120"/>
    <m/>
    <n v="500"/>
    <n v="29000"/>
    <x v="0"/>
    <s v="Aida GmbH"/>
    <s v="Women evening dress Cocktail red"/>
    <x v="0"/>
    <n v="34073.230000000003"/>
    <n v="0"/>
  </r>
  <r>
    <s v="1030AT"/>
    <n v="85442"/>
    <d v="2018-10-15T00:00:00"/>
    <n v="8050"/>
    <n v="119"/>
    <n v="1"/>
    <n v="360"/>
    <n v="22320"/>
    <x v="0"/>
    <s v="Aida GmbH"/>
    <s v="Women evening dress long black"/>
    <x v="0"/>
    <n v="26224.639999999999"/>
    <n v="1.6339869281045751E-4"/>
  </r>
  <r>
    <s v="1030AT"/>
    <n v="85442"/>
    <d v="2018-10-15T00:00:00"/>
    <n v="8050"/>
    <n v="115"/>
    <m/>
    <n v="810"/>
    <n v="4860"/>
    <x v="0"/>
    <s v="Aida GmbH"/>
    <s v="Unisex tank top black"/>
    <x v="0"/>
    <n v="5710.2"/>
    <n v="0"/>
  </r>
  <r>
    <s v="1030AT"/>
    <n v="85442"/>
    <d v="2018-10-15T00:00:00"/>
    <n v="8050"/>
    <n v="108"/>
    <m/>
    <n v="800"/>
    <n v="22400"/>
    <x v="0"/>
    <s v="Aida GmbH"/>
    <s v="Laptop bag black"/>
    <x v="0"/>
    <n v="26318.63"/>
    <n v="0"/>
  </r>
  <r>
    <s v="1030AT"/>
    <n v="88588"/>
    <d v="2018-10-15T00:00:00"/>
    <n v="8040"/>
    <n v="120"/>
    <m/>
    <n v="470"/>
    <n v="27260"/>
    <x v="0"/>
    <s v="Werner Strauss"/>
    <s v="Women evening dress Cocktail red"/>
    <x v="0"/>
    <n v="32028.84"/>
    <n v="0"/>
  </r>
  <r>
    <s v="1030AT"/>
    <n v="88588"/>
    <d v="2018-10-15T00:00:00"/>
    <n v="8040"/>
    <n v="119"/>
    <m/>
    <n v="860"/>
    <n v="53320"/>
    <x v="0"/>
    <s v="Werner Strauss"/>
    <s v="Women evening dress long black"/>
    <x v="0"/>
    <n v="62647.75"/>
    <n v="0"/>
  </r>
  <r>
    <s v="1030AT"/>
    <n v="88588"/>
    <d v="2018-10-15T00:00:00"/>
    <n v="8040"/>
    <n v="110"/>
    <m/>
    <n v="180"/>
    <n v="10800"/>
    <x v="0"/>
    <s v="Werner Strauss"/>
    <s v="Smartphone case diamond"/>
    <x v="0"/>
    <n v="12689.34"/>
    <n v="0"/>
  </r>
  <r>
    <s v="1030AT"/>
    <n v="88588"/>
    <d v="2018-10-15T00:00:00"/>
    <n v="8040"/>
    <n v="111"/>
    <m/>
    <n v="750"/>
    <n v="15000"/>
    <x v="0"/>
    <s v="Werner Strauss"/>
    <s v="Smartphone case simple"/>
    <x v="0"/>
    <n v="17624.09"/>
    <n v="0"/>
  </r>
  <r>
    <s v="1030AT"/>
    <n v="88588"/>
    <d v="2018-10-15T00:00:00"/>
    <n v="8040"/>
    <n v="109"/>
    <m/>
    <n v="560"/>
    <n v="15680"/>
    <x v="0"/>
    <s v="Werner Strauss"/>
    <s v="Laptop bag red"/>
    <x v="0"/>
    <n v="18423.04"/>
    <n v="0"/>
  </r>
  <r>
    <s v="1030AT"/>
    <n v="88588"/>
    <d v="2018-10-15T00:00:00"/>
    <n v="8040"/>
    <n v="105"/>
    <m/>
    <n v="130"/>
    <n v="1300"/>
    <x v="0"/>
    <s v="Werner Strauss"/>
    <s v="Women crop top black"/>
    <x v="0"/>
    <n v="1527.42"/>
    <n v="0"/>
  </r>
  <r>
    <s v="1030AT"/>
    <n v="88588"/>
    <d v="2018-10-15T00:00:00"/>
    <n v="8040"/>
    <n v="103"/>
    <m/>
    <n v="110"/>
    <n v="1320"/>
    <x v="0"/>
    <s v="Werner Strauss"/>
    <s v="Women type T simple white"/>
    <x v="0"/>
    <n v="1550.92"/>
    <n v="0"/>
  </r>
  <r>
    <s v="1030AT"/>
    <n v="88544"/>
    <d v="2018-10-22T00:00:00"/>
    <n v="8040"/>
    <n v="107"/>
    <m/>
    <n v="770"/>
    <n v="3850"/>
    <x v="0"/>
    <s v="Werner Strauss"/>
    <s v="Women basics"/>
    <x v="0"/>
    <n v="4523.5200000000004"/>
    <n v="0"/>
  </r>
  <r>
    <s v="1030AT"/>
    <n v="88544"/>
    <d v="2018-10-22T00:00:00"/>
    <n v="8040"/>
    <n v="120"/>
    <m/>
    <n v="300"/>
    <n v="17400"/>
    <x v="0"/>
    <s v="Werner Strauss"/>
    <s v="Women evening dress Cocktail red"/>
    <x v="0"/>
    <n v="20443.939999999999"/>
    <n v="0"/>
  </r>
  <r>
    <s v="1030AT"/>
    <n v="88666"/>
    <d v="2018-10-26T00:00:00"/>
    <n v="8030"/>
    <n v="119"/>
    <m/>
    <n v="330"/>
    <n v="20460"/>
    <x v="0"/>
    <s v="Edson"/>
    <s v="Women evening dress long black"/>
    <x v="0"/>
    <n v="24039.25"/>
    <n v="0"/>
  </r>
  <r>
    <s v="1030AT"/>
    <n v="88666"/>
    <d v="2018-10-26T00:00:00"/>
    <n v="8030"/>
    <n v="107"/>
    <m/>
    <n v="460"/>
    <n v="2300"/>
    <x v="0"/>
    <s v="Edson"/>
    <s v="Women basics"/>
    <x v="0"/>
    <n v="2702.36"/>
    <n v="0"/>
  </r>
  <r>
    <s v="1030AT"/>
    <n v="88666"/>
    <d v="2018-10-26T00:00:00"/>
    <n v="8030"/>
    <n v="105"/>
    <n v="1"/>
    <n v="470"/>
    <n v="4700"/>
    <x v="0"/>
    <s v="Edson"/>
    <s v="Women crop top black"/>
    <x v="0"/>
    <n v="5522.21"/>
    <n v="1.6339869281045751E-4"/>
  </r>
  <r>
    <s v="1030AT"/>
    <n v="88666"/>
    <d v="2018-10-26T00:00:00"/>
    <n v="8030"/>
    <n v="115"/>
    <m/>
    <n v="390"/>
    <n v="2340"/>
    <x v="0"/>
    <s v="Edson"/>
    <s v="Unisex tank top black"/>
    <x v="0"/>
    <n v="2749.36"/>
    <n v="0"/>
  </r>
  <r>
    <s v="1030AT"/>
    <n v="88666"/>
    <d v="2018-10-26T00:00:00"/>
    <n v="8030"/>
    <n v="116"/>
    <m/>
    <n v="260"/>
    <n v="1560"/>
    <x v="0"/>
    <s v="Edson"/>
    <s v="Unisex tank top white"/>
    <x v="0"/>
    <n v="1832.9"/>
    <n v="0"/>
  </r>
  <r>
    <s v="1040DE"/>
    <n v="44030"/>
    <d v="2018-10-04T00:00:00"/>
    <n v="8060"/>
    <n v="108"/>
    <s v=""/>
    <n v="60"/>
    <n v="1680"/>
    <x v="1"/>
    <s v="Liebher"/>
    <s v="Laptop bag black"/>
    <x v="0"/>
    <n v="1973.9"/>
    <n v="0"/>
  </r>
  <r>
    <s v="1040DE"/>
    <n v="44030"/>
    <d v="2018-10-04T00:00:00"/>
    <n v="8060"/>
    <n v="109"/>
    <n v="1"/>
    <n v="60"/>
    <n v="1680"/>
    <x v="1"/>
    <s v="Liebher"/>
    <s v="Laptop bag red"/>
    <x v="0"/>
    <n v="1973.9"/>
    <n v="1.6339869281045751E-4"/>
  </r>
  <r>
    <s v="1040DE"/>
    <n v="44032"/>
    <d v="2018-10-07T00:00:00"/>
    <n v="8060"/>
    <n v="108"/>
    <s v=""/>
    <n v="60"/>
    <n v="1680"/>
    <x v="1"/>
    <s v="Liebher"/>
    <s v="Laptop bag black"/>
    <x v="0"/>
    <n v="1973.9"/>
    <n v="0"/>
  </r>
  <r>
    <s v="1040DE"/>
    <n v="44032"/>
    <d v="2018-10-07T00:00:00"/>
    <n v="8060"/>
    <n v="109"/>
    <m/>
    <n v="70"/>
    <n v="1960"/>
    <x v="1"/>
    <s v="Liebher"/>
    <s v="Laptop bag red"/>
    <x v="0"/>
    <n v="2302.88"/>
    <n v="0"/>
  </r>
  <r>
    <s v="1040DE"/>
    <n v="44031"/>
    <d v="2018-10-08T00:00:00"/>
    <n v="8050"/>
    <n v="108"/>
    <s v=""/>
    <n v="60"/>
    <n v="1680"/>
    <x v="1"/>
    <s v="Aida GmbH"/>
    <s v="Laptop bag black"/>
    <x v="0"/>
    <n v="1973.9"/>
    <n v="0"/>
  </r>
  <r>
    <s v="1040DE"/>
    <n v="44031"/>
    <d v="2018-10-08T00:00:00"/>
    <n v="8050"/>
    <n v="109"/>
    <s v=""/>
    <n v="50"/>
    <n v="1400"/>
    <x v="1"/>
    <s v="Aida GmbH"/>
    <s v="Laptop bag red"/>
    <x v="0"/>
    <n v="1644.91"/>
    <n v="0"/>
  </r>
  <r>
    <s v="1040DE"/>
    <n v="44031"/>
    <d v="2018-10-08T00:00:00"/>
    <n v="8050"/>
    <n v="110"/>
    <s v=""/>
    <n v="60"/>
    <n v="3600"/>
    <x v="1"/>
    <s v="Aida GmbH"/>
    <s v="Smartphone case diamond"/>
    <x v="0"/>
    <n v="4229.78"/>
    <n v="0"/>
  </r>
  <r>
    <s v="1040DE"/>
    <n v="48112"/>
    <d v="2018-10-11T00:00:00"/>
    <n v="8060"/>
    <n v="109"/>
    <m/>
    <n v="60"/>
    <n v="1680"/>
    <x v="1"/>
    <s v="Liebher"/>
    <s v="Laptop bag red"/>
    <x v="0"/>
    <n v="1973.9"/>
    <n v="0"/>
  </r>
  <r>
    <s v="1040DE"/>
    <n v="48112"/>
    <d v="2018-10-11T00:00:00"/>
    <n v="8060"/>
    <n v="110"/>
    <s v=""/>
    <n v="50"/>
    <n v="3000"/>
    <x v="1"/>
    <s v="Liebher"/>
    <s v="Smartphone case diamond"/>
    <x v="0"/>
    <n v="3524.82"/>
    <n v="0"/>
  </r>
  <r>
    <s v="1040DE"/>
    <n v="48114"/>
    <d v="2018-10-11T00:00:00"/>
    <n v="8050"/>
    <n v="109"/>
    <m/>
    <n v="60"/>
    <n v="1680"/>
    <x v="1"/>
    <s v="Aida GmbH"/>
    <s v="Laptop bag red"/>
    <x v="0"/>
    <n v="1973.9"/>
    <n v="0"/>
  </r>
  <r>
    <s v="1040DE"/>
    <n v="48114"/>
    <d v="2018-10-11T00:00:00"/>
    <n v="8050"/>
    <n v="110"/>
    <m/>
    <n v="60"/>
    <n v="3600"/>
    <x v="1"/>
    <s v="Aida GmbH"/>
    <s v="Smartphone case diamond"/>
    <x v="0"/>
    <n v="4229.78"/>
    <n v="0"/>
  </r>
  <r>
    <s v="1040DE"/>
    <n v="48114"/>
    <d v="2018-10-11T00:00:00"/>
    <n v="8050"/>
    <n v="111"/>
    <m/>
    <n v="80"/>
    <n v="1600"/>
    <x v="1"/>
    <s v="Aida GmbH"/>
    <s v="Smartphone case simple"/>
    <x v="0"/>
    <n v="1879.9"/>
    <n v="0"/>
  </r>
  <r>
    <s v="1040DE"/>
    <n v="48116"/>
    <d v="2018-10-11T00:00:00"/>
    <n v="8060"/>
    <n v="109"/>
    <m/>
    <n v="60"/>
    <n v="1680"/>
    <x v="1"/>
    <s v="Liebher"/>
    <s v="Laptop bag red"/>
    <x v="0"/>
    <n v="1973.9"/>
    <n v="0"/>
  </r>
  <r>
    <s v="1040DE"/>
    <n v="48116"/>
    <d v="2018-10-11T00:00:00"/>
    <n v="8060"/>
    <n v="110"/>
    <m/>
    <n v="60"/>
    <n v="3600"/>
    <x v="1"/>
    <s v="Liebher"/>
    <s v="Smartphone case diamond"/>
    <x v="0"/>
    <n v="4229.78"/>
    <n v="0"/>
  </r>
  <r>
    <s v="1040DE"/>
    <n v="45442"/>
    <d v="2018-10-15T00:00:00"/>
    <n v="8050"/>
    <n v="108"/>
    <m/>
    <n v="50"/>
    <n v="1400"/>
    <x v="1"/>
    <s v="Aida GmbH"/>
    <s v="Laptop bag black"/>
    <x v="0"/>
    <n v="1644.91"/>
    <n v="0"/>
  </r>
  <r>
    <s v="1040DE"/>
    <n v="45442"/>
    <d v="2018-10-15T00:00:00"/>
    <n v="8050"/>
    <n v="109"/>
    <n v="1"/>
    <n v="60"/>
    <n v="1680"/>
    <x v="1"/>
    <s v="Aida GmbH"/>
    <s v="Laptop bag red"/>
    <x v="0"/>
    <n v="1973.9"/>
    <n v="1.6339869281045751E-4"/>
  </r>
  <r>
    <s v="1040DE"/>
    <n v="45444"/>
    <d v="2018-10-15T00:00:00"/>
    <n v="8060"/>
    <n v="108"/>
    <m/>
    <n v="60"/>
    <n v="1680"/>
    <x v="1"/>
    <s v="Liebher"/>
    <s v="Laptop bag black"/>
    <x v="0"/>
    <n v="1973.9"/>
    <n v="0"/>
  </r>
  <r>
    <s v="1040DE"/>
    <n v="45444"/>
    <d v="2018-10-15T00:00:00"/>
    <n v="8060"/>
    <n v="109"/>
    <m/>
    <n v="70"/>
    <n v="1960"/>
    <x v="1"/>
    <s v="Liebher"/>
    <s v="Laptop bag red"/>
    <x v="0"/>
    <n v="2302.88"/>
    <n v="0"/>
  </r>
  <r>
    <s v="1040DE"/>
    <n v="45444"/>
    <d v="2018-10-15T00:00:00"/>
    <n v="8060"/>
    <n v="110"/>
    <m/>
    <n v="60"/>
    <n v="3600"/>
    <x v="1"/>
    <s v="Liebher"/>
    <s v="Smartphone case diamond"/>
    <x v="0"/>
    <n v="4229.78"/>
    <n v="0"/>
  </r>
  <r>
    <s v="1040DE"/>
    <n v="45446"/>
    <d v="2018-10-15T00:00:00"/>
    <n v="8050"/>
    <n v="111"/>
    <m/>
    <n v="80"/>
    <n v="1600"/>
    <x v="1"/>
    <s v="Aida GmbH"/>
    <s v="Smartphone case simple"/>
    <x v="0"/>
    <n v="1879.9"/>
    <n v="0"/>
  </r>
  <r>
    <s v="1040DE"/>
    <n v="45446"/>
    <d v="2018-10-15T00:00:00"/>
    <n v="8050"/>
    <n v="108"/>
    <m/>
    <n v="50"/>
    <n v="1400"/>
    <x v="1"/>
    <s v="Aida GmbH"/>
    <s v="Laptop bag black"/>
    <x v="0"/>
    <n v="1644.91"/>
    <n v="0"/>
  </r>
  <r>
    <s v="1040DE"/>
    <n v="44015"/>
    <d v="2018-10-10T00:00:00"/>
    <n v="8060"/>
    <n v="108"/>
    <m/>
    <n v="60"/>
    <n v="1680"/>
    <x v="1"/>
    <s v="Liebher"/>
    <s v="Laptop bag black"/>
    <x v="0"/>
    <n v="1973.9"/>
    <n v="0"/>
  </r>
  <r>
    <s v="1040DE"/>
    <n v="44015"/>
    <d v="2018-10-10T00:00:00"/>
    <n v="8060"/>
    <n v="109"/>
    <m/>
    <n v="70"/>
    <n v="1960"/>
    <x v="1"/>
    <s v="Liebher"/>
    <s v="Laptop bag red"/>
    <x v="0"/>
    <n v="2302.88"/>
    <n v="0"/>
  </r>
  <r>
    <s v="1040DE"/>
    <n v="44017"/>
    <d v="2018-10-13T00:00:00"/>
    <n v="8060"/>
    <n v="108"/>
    <m/>
    <n v="70"/>
    <n v="1960"/>
    <x v="1"/>
    <s v="Liebher"/>
    <s v="Laptop bag black"/>
    <x v="0"/>
    <n v="2302.88"/>
    <n v="0"/>
  </r>
  <r>
    <s v="1040DE"/>
    <n v="44017"/>
    <d v="2018-10-13T00:00:00"/>
    <n v="8060"/>
    <n v="109"/>
    <m/>
    <n v="70"/>
    <n v="1960"/>
    <x v="1"/>
    <s v="Liebher"/>
    <s v="Laptop bag red"/>
    <x v="0"/>
    <n v="2302.88"/>
    <n v="0"/>
  </r>
  <r>
    <s v="1040DE"/>
    <n v="44016"/>
    <d v="2018-10-14T00:00:00"/>
    <n v="8050"/>
    <n v="108"/>
    <m/>
    <n v="70"/>
    <n v="1960"/>
    <x v="1"/>
    <s v="Aida GmbH"/>
    <s v="Laptop bag black"/>
    <x v="0"/>
    <n v="2302.88"/>
    <n v="0"/>
  </r>
  <r>
    <s v="1040DE"/>
    <n v="44016"/>
    <d v="2018-10-14T00:00:00"/>
    <n v="8050"/>
    <n v="109"/>
    <n v="1"/>
    <n v="60"/>
    <n v="1680"/>
    <x v="1"/>
    <s v="Aida GmbH"/>
    <s v="Laptop bag red"/>
    <x v="0"/>
    <n v="1973.9"/>
    <n v="1.6339869281045751E-4"/>
  </r>
  <r>
    <s v="1040DE"/>
    <n v="44016"/>
    <d v="2018-10-14T00:00:00"/>
    <n v="8050"/>
    <n v="110"/>
    <m/>
    <n v="50"/>
    <n v="3000"/>
    <x v="1"/>
    <s v="Aida GmbH"/>
    <s v="Smartphone case diamond"/>
    <x v="0"/>
    <n v="3524.82"/>
    <n v="0"/>
  </r>
  <r>
    <s v="1040DE"/>
    <n v="48097"/>
    <d v="2018-10-17T00:00:00"/>
    <n v="8060"/>
    <n v="109"/>
    <m/>
    <n v="60"/>
    <n v="1680"/>
    <x v="1"/>
    <s v="Liebher"/>
    <s v="Laptop bag red"/>
    <x v="0"/>
    <n v="1973.9"/>
    <n v="0"/>
  </r>
  <r>
    <s v="1040DE"/>
    <n v="48097"/>
    <d v="2018-10-17T00:00:00"/>
    <n v="8060"/>
    <n v="110"/>
    <m/>
    <n v="70"/>
    <n v="4200"/>
    <x v="1"/>
    <s v="Liebher"/>
    <s v="Smartphone case diamond"/>
    <x v="0"/>
    <n v="4934.74"/>
    <n v="0"/>
  </r>
  <r>
    <s v="1040DE"/>
    <n v="48099"/>
    <d v="2018-10-17T00:00:00"/>
    <n v="8050"/>
    <n v="109"/>
    <n v="1"/>
    <n v="60"/>
    <n v="1680"/>
    <x v="1"/>
    <s v="Aida GmbH"/>
    <s v="Laptop bag red"/>
    <x v="0"/>
    <n v="1973.9"/>
    <n v="1.6339869281045751E-4"/>
  </r>
  <r>
    <s v="1040DE"/>
    <n v="48099"/>
    <d v="2018-10-17T00:00:00"/>
    <n v="8050"/>
    <n v="110"/>
    <m/>
    <n v="60"/>
    <n v="3600"/>
    <x v="1"/>
    <s v="Aida GmbH"/>
    <s v="Smartphone case diamond"/>
    <x v="0"/>
    <n v="4229.78"/>
    <n v="0"/>
  </r>
  <r>
    <s v="1040DE"/>
    <n v="48099"/>
    <d v="2018-10-17T00:00:00"/>
    <n v="8050"/>
    <n v="111"/>
    <m/>
    <n v="60"/>
    <n v="1200"/>
    <x v="1"/>
    <s v="Aida GmbH"/>
    <s v="Smartphone case simple"/>
    <x v="0"/>
    <n v="1409.93"/>
    <n v="0"/>
  </r>
  <r>
    <s v="1040DE"/>
    <n v="48101"/>
    <d v="2018-10-17T00:00:00"/>
    <n v="8060"/>
    <n v="109"/>
    <m/>
    <n v="60"/>
    <n v="1680"/>
    <x v="1"/>
    <s v="Liebher"/>
    <s v="Laptop bag red"/>
    <x v="0"/>
    <n v="1973.9"/>
    <n v="0"/>
  </r>
  <r>
    <s v="1040DE"/>
    <n v="48101"/>
    <d v="2018-10-17T00:00:00"/>
    <n v="8060"/>
    <n v="110"/>
    <m/>
    <n v="50"/>
    <n v="3000"/>
    <x v="1"/>
    <s v="Liebher"/>
    <s v="Smartphone case diamond"/>
    <x v="0"/>
    <n v="3524.82"/>
    <n v="0"/>
  </r>
  <r>
    <s v="1040DE"/>
    <n v="45427"/>
    <d v="2018-10-21T00:00:00"/>
    <n v="8050"/>
    <n v="108"/>
    <m/>
    <n v="70"/>
    <n v="1960"/>
    <x v="1"/>
    <s v="Aida GmbH"/>
    <s v="Laptop bag black"/>
    <x v="0"/>
    <n v="2302.88"/>
    <n v="0"/>
  </r>
  <r>
    <s v="1040DE"/>
    <n v="45427"/>
    <d v="2018-10-21T00:00:00"/>
    <n v="8050"/>
    <n v="109"/>
    <m/>
    <n v="60"/>
    <n v="1680"/>
    <x v="1"/>
    <s v="Aida GmbH"/>
    <s v="Laptop bag red"/>
    <x v="0"/>
    <n v="1973.9"/>
    <n v="0"/>
  </r>
  <r>
    <s v="1040DE"/>
    <n v="45429"/>
    <d v="2018-10-21T00:00:00"/>
    <n v="8060"/>
    <n v="108"/>
    <m/>
    <n v="80"/>
    <n v="2240"/>
    <x v="1"/>
    <s v="Liebher"/>
    <s v="Laptop bag black"/>
    <x v="0"/>
    <n v="2631.86"/>
    <n v="0"/>
  </r>
  <r>
    <s v="1040DE"/>
    <n v="45429"/>
    <d v="2018-10-21T00:00:00"/>
    <n v="8060"/>
    <n v="109"/>
    <n v="2"/>
    <n v="80"/>
    <n v="2240"/>
    <x v="1"/>
    <s v="Liebher"/>
    <s v="Laptop bag red"/>
    <x v="0"/>
    <n v="2631.86"/>
    <n v="3.2679738562091501E-4"/>
  </r>
  <r>
    <s v="1040DE"/>
    <n v="45429"/>
    <d v="2018-10-21T00:00:00"/>
    <n v="8060"/>
    <n v="110"/>
    <m/>
    <n v="50"/>
    <n v="3000"/>
    <x v="1"/>
    <s v="Liebher"/>
    <s v="Smartphone case diamond"/>
    <x v="0"/>
    <n v="3524.82"/>
    <n v="0"/>
  </r>
  <r>
    <s v="1040DE"/>
    <n v="45431"/>
    <d v="2018-10-21T00:00:00"/>
    <n v="8050"/>
    <n v="111"/>
    <m/>
    <n v="60"/>
    <n v="1200"/>
    <x v="1"/>
    <s v="Aida GmbH"/>
    <s v="Smartphone case simple"/>
    <x v="0"/>
    <n v="1409.93"/>
    <n v="0"/>
  </r>
  <r>
    <s v="1040DE"/>
    <n v="45431"/>
    <d v="2018-10-21T00:00:00"/>
    <n v="8050"/>
    <n v="108"/>
    <m/>
    <n v="60"/>
    <n v="1680"/>
    <x v="1"/>
    <s v="Aida GmbH"/>
    <s v="Laptop bag black"/>
    <x v="0"/>
    <n v="1973.9"/>
    <n v="0"/>
  </r>
  <r>
    <s v="1020US"/>
    <n v="24030"/>
    <d v="2018-10-02T00:00:00"/>
    <n v="8020"/>
    <n v="101"/>
    <n v="1"/>
    <n v="130"/>
    <n v="1560"/>
    <x v="2"/>
    <s v="Erma"/>
    <s v="Men type T simple white"/>
    <x v="1"/>
    <n v="1560"/>
    <n v="1.6339869281045751E-4"/>
  </r>
  <r>
    <s v="1020US"/>
    <n v="24030"/>
    <d v="2018-10-02T00:00:00"/>
    <n v="8020"/>
    <n v="102"/>
    <m/>
    <n v="30"/>
    <n v="360"/>
    <x v="2"/>
    <s v="Erma"/>
    <s v="Men type T simple black"/>
    <x v="1"/>
    <n v="360"/>
    <n v="0"/>
  </r>
  <r>
    <s v="1020US"/>
    <n v="24030"/>
    <d v="2018-10-02T00:00:00"/>
    <n v="8020"/>
    <n v="106"/>
    <s v=""/>
    <n v="60"/>
    <n v="300"/>
    <x v="2"/>
    <s v="Erma"/>
    <s v="Men basics"/>
    <x v="1"/>
    <n v="300"/>
    <n v="0"/>
  </r>
  <r>
    <s v="1020US"/>
    <n v="24030"/>
    <d v="2018-10-02T00:00:00"/>
    <n v="8020"/>
    <n v="108"/>
    <m/>
    <n v="80"/>
    <n v="2240"/>
    <x v="2"/>
    <s v="Erma"/>
    <s v="Laptop bag black"/>
    <x v="1"/>
    <n v="2240"/>
    <n v="0"/>
  </r>
  <r>
    <s v="1020US"/>
    <n v="24031"/>
    <d v="2018-10-08T00:00:00"/>
    <n v="8020"/>
    <n v="101"/>
    <s v=""/>
    <n v="100"/>
    <n v="1200"/>
    <x v="2"/>
    <s v="Erma"/>
    <s v="Men type T simple white"/>
    <x v="1"/>
    <n v="1200"/>
    <n v="0"/>
  </r>
  <r>
    <s v="1020US"/>
    <n v="24031"/>
    <d v="2018-10-08T00:00:00"/>
    <n v="8020"/>
    <n v="108"/>
    <s v=""/>
    <n v="20"/>
    <n v="560"/>
    <x v="2"/>
    <s v="Erma"/>
    <s v="Laptop bag black"/>
    <x v="1"/>
    <n v="560"/>
    <n v="0"/>
  </r>
  <r>
    <s v="1020US"/>
    <n v="24031"/>
    <d v="2018-10-08T00:00:00"/>
    <n v="8020"/>
    <n v="113"/>
    <s v=""/>
    <n v="100"/>
    <n v="2500"/>
    <x v="2"/>
    <s v="Erma"/>
    <s v="Men dress shirt black"/>
    <x v="1"/>
    <n v="2500"/>
    <n v="0"/>
  </r>
  <r>
    <s v="1020US"/>
    <n v="28112"/>
    <d v="2018-10-12T00:00:00"/>
    <n v="8020"/>
    <n v="114"/>
    <n v="1"/>
    <n v="50"/>
    <n v="1250"/>
    <x v="2"/>
    <s v="Erma"/>
    <s v="Men dress shirt grey"/>
    <x v="1"/>
    <n v="1250"/>
    <n v="1.6339869281045751E-4"/>
  </r>
  <r>
    <s v="1020US"/>
    <n v="28112"/>
    <d v="2018-10-12T00:00:00"/>
    <n v="8020"/>
    <n v="101"/>
    <s v=""/>
    <n v="40"/>
    <n v="480"/>
    <x v="2"/>
    <s v="Erma"/>
    <s v="Men type T simple white"/>
    <x v="1"/>
    <n v="480"/>
    <n v="0"/>
  </r>
  <r>
    <s v="1020US"/>
    <n v="28112"/>
    <d v="2018-10-12T00:00:00"/>
    <n v="8020"/>
    <n v="102"/>
    <m/>
    <n v="70"/>
    <n v="840"/>
    <x v="2"/>
    <s v="Erma"/>
    <s v="Men type T simple black"/>
    <x v="1"/>
    <n v="840"/>
    <n v="0"/>
  </r>
  <r>
    <s v="1020US"/>
    <n v="28112"/>
    <d v="2018-10-12T00:00:00"/>
    <n v="8020"/>
    <n v="106"/>
    <m/>
    <n v="70"/>
    <n v="350"/>
    <x v="2"/>
    <s v="Erma"/>
    <s v="Men basics"/>
    <x v="1"/>
    <n v="350"/>
    <n v="0"/>
  </r>
  <r>
    <s v="1020US"/>
    <n v="28112"/>
    <d v="2018-10-12T00:00:00"/>
    <n v="8020"/>
    <n v="108"/>
    <m/>
    <n v="10"/>
    <n v="280"/>
    <x v="2"/>
    <s v="Erma"/>
    <s v="Laptop bag black"/>
    <x v="1"/>
    <n v="280"/>
    <n v="0"/>
  </r>
  <r>
    <s v="1020US"/>
    <n v="28112"/>
    <d v="2018-10-12T00:00:00"/>
    <n v="8020"/>
    <n v="117"/>
    <m/>
    <n v="80"/>
    <n v="1440"/>
    <x v="2"/>
    <s v="Erma"/>
    <s v="Men shorts grey"/>
    <x v="1"/>
    <n v="1440"/>
    <n v="0"/>
  </r>
  <r>
    <s v="1020US"/>
    <n v="28112"/>
    <d v="2018-10-12T00:00:00"/>
    <n v="8020"/>
    <n v="118"/>
    <m/>
    <n v="70"/>
    <n v="1260"/>
    <x v="2"/>
    <s v="Erma"/>
    <s v="Men shorts black"/>
    <x v="1"/>
    <n v="1260"/>
    <n v="0"/>
  </r>
  <r>
    <s v="1020US"/>
    <n v="25442"/>
    <d v="2018-10-16T00:00:00"/>
    <n v="8010"/>
    <n v="118"/>
    <m/>
    <n v="70"/>
    <n v="1260"/>
    <x v="2"/>
    <s v="Dellicia"/>
    <s v="Men shorts black"/>
    <x v="1"/>
    <n v="1260"/>
    <n v="0"/>
  </r>
  <r>
    <s v="1020US"/>
    <n v="25442"/>
    <d v="2018-10-16T00:00:00"/>
    <n v="8010"/>
    <n v="117"/>
    <n v="6"/>
    <n v="80"/>
    <n v="1440"/>
    <x v="2"/>
    <s v="Dellicia"/>
    <s v="Men shorts grey"/>
    <x v="1"/>
    <n v="1440"/>
    <n v="9.8039215686274508E-4"/>
  </r>
  <r>
    <s v="1020US"/>
    <n v="25442"/>
    <d v="2018-10-16T00:00:00"/>
    <n v="8010"/>
    <n v="118"/>
    <m/>
    <n v="70"/>
    <n v="1260"/>
    <x v="2"/>
    <s v="Dellicia"/>
    <s v="Men shorts black"/>
    <x v="1"/>
    <n v="1260"/>
    <n v="0"/>
  </r>
  <r>
    <s v="1020US"/>
    <n v="25442"/>
    <d v="2018-10-16T00:00:00"/>
    <n v="8010"/>
    <n v="116"/>
    <n v="1"/>
    <n v="60"/>
    <n v="360"/>
    <x v="2"/>
    <s v="Dellicia"/>
    <s v="Unisex tank top white"/>
    <x v="1"/>
    <n v="360"/>
    <n v="1.6339869281045751E-4"/>
  </r>
  <r>
    <s v="1020US"/>
    <n v="25442"/>
    <d v="2018-10-16T00:00:00"/>
    <n v="8010"/>
    <n v="106"/>
    <m/>
    <n v="20"/>
    <n v="100"/>
    <x v="2"/>
    <s v="Dellicia"/>
    <s v="Men basics"/>
    <x v="1"/>
    <n v="100"/>
    <n v="0"/>
  </r>
  <r>
    <s v="1020US"/>
    <n v="25442"/>
    <d v="2018-10-16T00:00:00"/>
    <n v="8010"/>
    <n v="101"/>
    <m/>
    <n v="40"/>
    <n v="480"/>
    <x v="2"/>
    <s v="Dellicia"/>
    <s v="Men type T simple white"/>
    <x v="1"/>
    <n v="480"/>
    <n v="0"/>
  </r>
  <r>
    <s v="1020US"/>
    <n v="25442"/>
    <d v="2018-10-16T00:00:00"/>
    <n v="8010"/>
    <n v="102"/>
    <m/>
    <n v="10"/>
    <n v="120"/>
    <x v="2"/>
    <s v="Dellicia"/>
    <s v="Men type T simple black"/>
    <x v="1"/>
    <n v="120"/>
    <n v="0"/>
  </r>
  <r>
    <s v="1010US"/>
    <n v="66030"/>
    <d v="2018-10-04T00:00:00"/>
    <n v="8010"/>
    <n v="103"/>
    <s v=""/>
    <n v="120"/>
    <n v="1440"/>
    <x v="3"/>
    <s v="Dellicia"/>
    <s v="Women type T simple white"/>
    <x v="1"/>
    <n v="1440"/>
    <n v="0"/>
  </r>
  <r>
    <s v="1010US"/>
    <n v="66030"/>
    <d v="2018-10-04T00:00:00"/>
    <n v="8010"/>
    <n v="104"/>
    <m/>
    <n v="150"/>
    <n v="1800"/>
    <x v="3"/>
    <s v="Dellicia"/>
    <s v="Women type T simple black"/>
    <x v="1"/>
    <n v="1800"/>
    <n v="0"/>
  </r>
  <r>
    <s v="1010US"/>
    <n v="66032"/>
    <d v="2018-10-07T00:00:00"/>
    <n v="8010"/>
    <n v="103"/>
    <m/>
    <n v="170"/>
    <n v="2040"/>
    <x v="3"/>
    <s v="Dellicia"/>
    <s v="Women type T simple white"/>
    <x v="1"/>
    <n v="2040"/>
    <n v="0"/>
  </r>
  <r>
    <s v="1010US"/>
    <n v="66032"/>
    <d v="2018-10-07T00:00:00"/>
    <n v="8010"/>
    <n v="104"/>
    <m/>
    <n v="140"/>
    <n v="1680"/>
    <x v="3"/>
    <s v="Dellicia"/>
    <s v="Women type T simple black"/>
    <x v="1"/>
    <n v="1680"/>
    <n v="0"/>
  </r>
  <r>
    <s v="1010US"/>
    <n v="66031"/>
    <d v="2018-10-08T00:00:00"/>
    <n v="8020"/>
    <n v="103"/>
    <n v="1"/>
    <n v="140"/>
    <n v="1680"/>
    <x v="3"/>
    <s v="Erma"/>
    <s v="Women type T simple white"/>
    <x v="1"/>
    <n v="1680"/>
    <n v="1.6339869281045751E-4"/>
  </r>
  <r>
    <s v="1010US"/>
    <n v="66031"/>
    <d v="2018-10-08T00:00:00"/>
    <n v="8020"/>
    <n v="104"/>
    <m/>
    <n v="150"/>
    <n v="1800"/>
    <x v="3"/>
    <s v="Erma"/>
    <s v="Women type T simple black"/>
    <x v="1"/>
    <n v="1800"/>
    <n v="0"/>
  </r>
  <r>
    <s v="1010US"/>
    <n v="66031"/>
    <d v="2018-10-08T00:00:00"/>
    <n v="8020"/>
    <n v="105"/>
    <m/>
    <n v="100"/>
    <n v="1000"/>
    <x v="3"/>
    <s v="Erma"/>
    <s v="Women crop top black"/>
    <x v="1"/>
    <n v="1000"/>
    <n v="0"/>
  </r>
  <r>
    <s v="1010US"/>
    <n v="68112"/>
    <d v="2018-10-11T00:00:00"/>
    <n v="8010"/>
    <n v="104"/>
    <n v="4"/>
    <n v="180"/>
    <n v="2160"/>
    <x v="3"/>
    <s v="Dellicia"/>
    <s v="Women type T simple black"/>
    <x v="1"/>
    <n v="2160"/>
    <n v="6.5359477124183002E-4"/>
  </r>
  <r>
    <s v="1010US"/>
    <n v="68112"/>
    <d v="2018-10-11T00:00:00"/>
    <n v="8010"/>
    <n v="105"/>
    <m/>
    <n v="120"/>
    <n v="1200"/>
    <x v="3"/>
    <s v="Dellicia"/>
    <s v="Women crop top black"/>
    <x v="1"/>
    <n v="1200"/>
    <n v="0"/>
  </r>
  <r>
    <s v="1010US"/>
    <n v="68116"/>
    <d v="2018-10-11T00:00:00"/>
    <n v="8020"/>
    <n v="104"/>
    <m/>
    <n v="150"/>
    <n v="1800"/>
    <x v="3"/>
    <s v="Erma"/>
    <s v="Women type T simple black"/>
    <x v="1"/>
    <n v="1800"/>
    <n v="0"/>
  </r>
  <r>
    <s v="1010US"/>
    <n v="68116"/>
    <d v="2018-10-11T00:00:00"/>
    <n v="8020"/>
    <n v="105"/>
    <m/>
    <n v="190"/>
    <n v="1900"/>
    <x v="3"/>
    <s v="Erma"/>
    <s v="Women crop top black"/>
    <x v="1"/>
    <n v="1900"/>
    <n v="0"/>
  </r>
  <r>
    <s v="1010US"/>
    <n v="68116"/>
    <d v="2018-10-11T00:00:00"/>
    <n v="8020"/>
    <n v="107"/>
    <n v="2"/>
    <n v="160"/>
    <n v="800"/>
    <x v="3"/>
    <s v="Erma"/>
    <s v="Women basics"/>
    <x v="1"/>
    <n v="800"/>
    <n v="3.2679738562091501E-4"/>
  </r>
  <r>
    <s v="1010US"/>
    <n v="68116"/>
    <d v="2018-10-11T00:00:00"/>
    <n v="8010"/>
    <n v="104"/>
    <m/>
    <n v="160"/>
    <n v="1920"/>
    <x v="3"/>
    <s v="Dellicia"/>
    <s v="Women type T simple black"/>
    <x v="1"/>
    <n v="1920"/>
    <n v="0"/>
  </r>
  <r>
    <s v="1010US"/>
    <n v="68116"/>
    <d v="2018-10-11T00:00:00"/>
    <n v="8010"/>
    <n v="105"/>
    <m/>
    <n v="190"/>
    <n v="1900"/>
    <x v="3"/>
    <s v="Dellicia"/>
    <s v="Women crop top black"/>
    <x v="1"/>
    <n v="1900"/>
    <n v="0"/>
  </r>
  <r>
    <s v="1010US"/>
    <n v="65662"/>
    <d v="2018-10-15T00:00:00"/>
    <n v="8020"/>
    <n v="103"/>
    <m/>
    <n v="120"/>
    <n v="1440"/>
    <x v="3"/>
    <s v="Erma"/>
    <s v="Women type T simple white"/>
    <x v="1"/>
    <n v="1440"/>
    <n v="0"/>
  </r>
  <r>
    <s v="1010US"/>
    <n v="65662"/>
    <d v="2018-10-15T00:00:00"/>
    <n v="8020"/>
    <n v="104"/>
    <m/>
    <n v="110"/>
    <n v="1320"/>
    <x v="3"/>
    <s v="Erma"/>
    <s v="Women type T simple black"/>
    <x v="1"/>
    <n v="1320"/>
    <n v="0"/>
  </r>
  <r>
    <s v="1010US"/>
    <n v="65666"/>
    <d v="2018-10-15T00:00:00"/>
    <n v="8010"/>
    <n v="103"/>
    <m/>
    <n v="120"/>
    <n v="1440"/>
    <x v="3"/>
    <s v="Dellicia"/>
    <s v="Women type T simple white"/>
    <x v="1"/>
    <n v="1440"/>
    <n v="0"/>
  </r>
  <r>
    <s v="1010US"/>
    <n v="65666"/>
    <d v="2018-10-15T00:00:00"/>
    <n v="8010"/>
    <n v="104"/>
    <m/>
    <n v="140"/>
    <n v="1680"/>
    <x v="3"/>
    <s v="Dellicia"/>
    <s v="Women type T simple black"/>
    <x v="1"/>
    <n v="1680"/>
    <n v="0"/>
  </r>
  <r>
    <s v="1010US"/>
    <n v="65666"/>
    <d v="2018-10-15T00:00:00"/>
    <n v="8010"/>
    <n v="105"/>
    <m/>
    <n v="160"/>
    <n v="1600"/>
    <x v="3"/>
    <s v="Dellicia"/>
    <s v="Women crop top black"/>
    <x v="1"/>
    <n v="1600"/>
    <n v="0"/>
  </r>
  <r>
    <s v="1010US"/>
    <n v="65666"/>
    <d v="2018-10-15T00:00:00"/>
    <n v="8020"/>
    <n v="107"/>
    <m/>
    <n v="120"/>
    <n v="600"/>
    <x v="3"/>
    <s v="Erma"/>
    <s v="Women basics"/>
    <x v="1"/>
    <n v="600"/>
    <n v="0"/>
  </r>
  <r>
    <s v="1010US"/>
    <n v="65666"/>
    <d v="2018-10-15T00:00:00"/>
    <n v="8020"/>
    <n v="103"/>
    <m/>
    <n v="200"/>
    <n v="2400"/>
    <x v="3"/>
    <s v="Erma"/>
    <s v="Women type T simple white"/>
    <x v="1"/>
    <n v="2400"/>
    <n v="0"/>
  </r>
  <r>
    <s v="1010US"/>
    <n v="66015"/>
    <d v="2018-10-10T00:00:00"/>
    <n v="8010"/>
    <n v="103"/>
    <m/>
    <n v="140"/>
    <n v="1680"/>
    <x v="3"/>
    <s v="Dellicia"/>
    <s v="Women type T simple white"/>
    <x v="1"/>
    <n v="1680"/>
    <n v="0"/>
  </r>
  <r>
    <s v="1010US"/>
    <n v="66015"/>
    <d v="2018-10-10T00:00:00"/>
    <n v="8010"/>
    <n v="104"/>
    <m/>
    <n v="140"/>
    <n v="1680"/>
    <x v="3"/>
    <s v="Dellicia"/>
    <s v="Women type T simple black"/>
    <x v="1"/>
    <n v="1680"/>
    <n v="0"/>
  </r>
  <r>
    <s v="1010US"/>
    <n v="66017"/>
    <d v="2018-10-13T00:00:00"/>
    <n v="8010"/>
    <n v="103"/>
    <m/>
    <n v="140"/>
    <n v="1680"/>
    <x v="3"/>
    <s v="Dellicia"/>
    <s v="Women type T simple white"/>
    <x v="1"/>
    <n v="1680"/>
    <n v="0"/>
  </r>
  <r>
    <s v="1010US"/>
    <n v="66017"/>
    <d v="2018-10-13T00:00:00"/>
    <n v="8010"/>
    <n v="104"/>
    <m/>
    <n v="140"/>
    <n v="1680"/>
    <x v="3"/>
    <s v="Dellicia"/>
    <s v="Women type T simple black"/>
    <x v="1"/>
    <n v="1680"/>
    <n v="0"/>
  </r>
  <r>
    <s v="1010US"/>
    <n v="66016"/>
    <d v="2018-10-14T00:00:00"/>
    <n v="8020"/>
    <n v="103"/>
    <m/>
    <n v="120"/>
    <n v="1440"/>
    <x v="3"/>
    <s v="Erma"/>
    <s v="Women type T simple white"/>
    <x v="1"/>
    <n v="1440"/>
    <n v="0"/>
  </r>
  <r>
    <s v="1010US"/>
    <n v="66016"/>
    <d v="2018-10-14T00:00:00"/>
    <n v="8020"/>
    <n v="104"/>
    <m/>
    <n v="130"/>
    <n v="1560"/>
    <x v="3"/>
    <s v="Erma"/>
    <s v="Women type T simple black"/>
    <x v="1"/>
    <n v="1560"/>
    <n v="0"/>
  </r>
  <r>
    <s v="1010US"/>
    <n v="66016"/>
    <d v="2018-10-14T00:00:00"/>
    <n v="8020"/>
    <n v="105"/>
    <m/>
    <n v="120"/>
    <n v="1200"/>
    <x v="3"/>
    <s v="Erma"/>
    <s v="Women crop top black"/>
    <x v="1"/>
    <n v="1200"/>
    <n v="0"/>
  </r>
  <r>
    <s v="1010US"/>
    <n v="68097"/>
    <d v="2018-10-17T00:00:00"/>
    <n v="8010"/>
    <n v="104"/>
    <m/>
    <n v="140"/>
    <n v="1680"/>
    <x v="3"/>
    <s v="Dellicia"/>
    <s v="Women type T simple black"/>
    <x v="1"/>
    <n v="1680"/>
    <n v="0"/>
  </r>
  <r>
    <s v="1010US"/>
    <n v="68097"/>
    <d v="2018-10-17T00:00:00"/>
    <n v="8010"/>
    <n v="105"/>
    <m/>
    <n v="130"/>
    <n v="1300"/>
    <x v="3"/>
    <s v="Dellicia"/>
    <s v="Women crop top black"/>
    <x v="1"/>
    <n v="1300"/>
    <n v="0"/>
  </r>
  <r>
    <s v="1010US"/>
    <n v="68099"/>
    <d v="2018-10-17T00:00:00"/>
    <n v="8020"/>
    <n v="104"/>
    <m/>
    <n v="120"/>
    <n v="1440"/>
    <x v="3"/>
    <s v="Erma"/>
    <s v="Women type T simple black"/>
    <x v="1"/>
    <n v="1440"/>
    <n v="0"/>
  </r>
  <r>
    <s v="1010US"/>
    <n v="68099"/>
    <d v="2018-10-17T00:00:00"/>
    <n v="8020"/>
    <n v="105"/>
    <n v="2"/>
    <n v="140"/>
    <n v="1400"/>
    <x v="3"/>
    <s v="Erma"/>
    <s v="Women crop top black"/>
    <x v="1"/>
    <n v="1400"/>
    <n v="3.2679738562091501E-4"/>
  </r>
  <r>
    <s v="1010US"/>
    <n v="68099"/>
    <d v="2018-10-17T00:00:00"/>
    <n v="8020"/>
    <n v="107"/>
    <m/>
    <n v="170"/>
    <n v="850"/>
    <x v="3"/>
    <s v="Erma"/>
    <s v="Women basics"/>
    <x v="1"/>
    <n v="850"/>
    <n v="0"/>
  </r>
  <r>
    <s v="1010US"/>
    <n v="68101"/>
    <d v="2018-10-17T00:00:00"/>
    <n v="8010"/>
    <n v="104"/>
    <m/>
    <n v="190"/>
    <n v="2280"/>
    <x v="3"/>
    <s v="Dellicia"/>
    <s v="Women type T simple black"/>
    <x v="1"/>
    <n v="2280"/>
    <n v="0"/>
  </r>
  <r>
    <s v="1010US"/>
    <n v="68101"/>
    <d v="2018-10-17T00:00:00"/>
    <n v="8010"/>
    <n v="105"/>
    <m/>
    <n v="140"/>
    <n v="1400"/>
    <x v="3"/>
    <s v="Dellicia"/>
    <s v="Women crop top black"/>
    <x v="1"/>
    <n v="1400"/>
    <n v="0"/>
  </r>
  <r>
    <s v="1010US"/>
    <n v="65627"/>
    <d v="2018-10-21T00:00:00"/>
    <n v="8020"/>
    <n v="103"/>
    <m/>
    <n v="140"/>
    <n v="1680"/>
    <x v="3"/>
    <s v="Erma"/>
    <s v="Women type T simple white"/>
    <x v="1"/>
    <n v="1680"/>
    <n v="0"/>
  </r>
  <r>
    <s v="1010US"/>
    <n v="65627"/>
    <d v="2018-10-21T00:00:00"/>
    <n v="8020"/>
    <n v="104"/>
    <n v="3"/>
    <n v="160"/>
    <n v="1920"/>
    <x v="3"/>
    <s v="Erma"/>
    <s v="Women type T simple black"/>
    <x v="1"/>
    <n v="1920"/>
    <n v="4.9019607843137254E-4"/>
  </r>
  <r>
    <s v="1010US"/>
    <n v="65629"/>
    <d v="2018-10-21T00:00:00"/>
    <n v="8010"/>
    <n v="103"/>
    <m/>
    <n v="190"/>
    <n v="2280"/>
    <x v="3"/>
    <s v="Dellicia"/>
    <s v="Women type T simple white"/>
    <x v="1"/>
    <n v="2280"/>
    <n v="0"/>
  </r>
  <r>
    <s v="1010US"/>
    <n v="65629"/>
    <d v="2018-10-21T00:00:00"/>
    <n v="8010"/>
    <n v="104"/>
    <m/>
    <n v="130"/>
    <n v="1560"/>
    <x v="3"/>
    <s v="Dellicia"/>
    <s v="Women type T simple black"/>
    <x v="1"/>
    <n v="1560"/>
    <n v="0"/>
  </r>
  <r>
    <s v="1010US"/>
    <n v="65629"/>
    <d v="2018-10-21T00:00:00"/>
    <n v="8010"/>
    <n v="105"/>
    <m/>
    <n v="140"/>
    <n v="1400"/>
    <x v="3"/>
    <s v="Dellicia"/>
    <s v="Women crop top black"/>
    <x v="1"/>
    <n v="1400"/>
    <n v="0"/>
  </r>
  <r>
    <s v="1010US"/>
    <n v="65631"/>
    <d v="2018-10-21T00:00:00"/>
    <n v="8020"/>
    <n v="107"/>
    <m/>
    <n v="190"/>
    <n v="950"/>
    <x v="3"/>
    <s v="Erma"/>
    <s v="Women basics"/>
    <x v="1"/>
    <n v="950"/>
    <n v="0"/>
  </r>
  <r>
    <s v="1010US"/>
    <n v="65631"/>
    <d v="2018-10-21T00:00:00"/>
    <n v="8020"/>
    <n v="103"/>
    <m/>
    <n v="120"/>
    <n v="1440"/>
    <x v="3"/>
    <s v="Erma"/>
    <s v="Women type T simple white"/>
    <x v="1"/>
    <n v="144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1030AT"/>
    <n v="84030"/>
    <d v="2018-10-07T00:00:00"/>
    <n v="8050"/>
    <n v="120"/>
    <s v=""/>
    <n v="120"/>
    <n v="6960"/>
    <x v="0"/>
    <s v="Aida GmbH"/>
    <s v="Women evening dress Cocktail red"/>
    <x v="0"/>
    <n v="8177.58"/>
    <n v="0"/>
  </r>
  <r>
    <s v="1030AT"/>
    <n v="84030"/>
    <d v="2018-10-07T00:00:00"/>
    <n v="8050"/>
    <n v="104"/>
    <n v="1"/>
    <n v="430"/>
    <n v="5160"/>
    <x v="0"/>
    <s v="Aida GmbH"/>
    <s v="Women type T simple black"/>
    <x v="0"/>
    <n v="6062.69"/>
    <n v="1.6339869281045751E-4"/>
  </r>
  <r>
    <s v="1030AT"/>
    <n v="84030"/>
    <d v="2018-10-07T00:00:00"/>
    <n v="8050"/>
    <n v="105"/>
    <s v=""/>
    <n v="120"/>
    <n v="1200"/>
    <x v="0"/>
    <s v="Aida GmbH"/>
    <s v="Women crop top black"/>
    <x v="0"/>
    <n v="1409.93"/>
    <n v="0"/>
  </r>
  <r>
    <s v="1030AT"/>
    <n v="84030"/>
    <d v="2018-10-07T00:00:00"/>
    <n v="8050"/>
    <n v="107"/>
    <n v="1"/>
    <n v="690"/>
    <n v="3450"/>
    <x v="0"/>
    <s v="Aida GmbH"/>
    <s v="Women basics"/>
    <x v="0"/>
    <n v="4053.54"/>
    <n v="1.6339869281045751E-4"/>
  </r>
  <r>
    <s v="1030AT"/>
    <n v="84031"/>
    <d v="2018-10-08T00:00:00"/>
    <n v="8040"/>
    <n v="104"/>
    <s v=""/>
    <n v="870"/>
    <n v="10440"/>
    <x v="0"/>
    <s v="Werner Strauss"/>
    <s v="Women type T simple black"/>
    <x v="0"/>
    <n v="12266.36"/>
    <n v="0"/>
  </r>
  <r>
    <s v="1030AT"/>
    <n v="84031"/>
    <d v="2018-10-08T00:00:00"/>
    <n v="8040"/>
    <n v="107"/>
    <s v=""/>
    <n v="760"/>
    <n v="3800"/>
    <x v="0"/>
    <s v="Werner Strauss"/>
    <s v="Women basics"/>
    <x v="0"/>
    <n v="4464.7700000000004"/>
    <n v="0"/>
  </r>
  <r>
    <s v="1030AT"/>
    <n v="84031"/>
    <d v="2018-10-08T00:00:00"/>
    <n v="8040"/>
    <n v="110"/>
    <n v="2"/>
    <n v="500"/>
    <n v="30000"/>
    <x v="0"/>
    <s v="Werner Strauss"/>
    <s v="Smartphone case diamond"/>
    <x v="0"/>
    <n v="35248.17"/>
    <n v="3.2679738562091501E-4"/>
  </r>
  <r>
    <s v="1030AT"/>
    <n v="88112"/>
    <d v="2018-10-11T00:00:00"/>
    <n v="8040"/>
    <n v="110"/>
    <m/>
    <n v="480"/>
    <n v="28800"/>
    <x v="0"/>
    <s v="Werner Strauss"/>
    <s v="Smartphone case diamond"/>
    <x v="0"/>
    <n v="33838.239999999998"/>
    <n v="0"/>
  </r>
  <r>
    <s v="1030AT"/>
    <n v="88112"/>
    <d v="2018-10-11T00:00:00"/>
    <n v="8040"/>
    <n v="119"/>
    <s v=""/>
    <n v="630"/>
    <n v="39060"/>
    <x v="0"/>
    <s v="Werner Strauss"/>
    <s v="Women evening dress long black"/>
    <x v="0"/>
    <n v="45893.120000000003"/>
    <n v="0"/>
  </r>
  <r>
    <s v="1030AT"/>
    <n v="88112"/>
    <d v="2018-10-11T00:00:00"/>
    <n v="8040"/>
    <n v="120"/>
    <m/>
    <n v="150"/>
    <n v="8700"/>
    <x v="0"/>
    <s v="Werner Strauss"/>
    <s v="Women evening dress Cocktail red"/>
    <x v="0"/>
    <n v="10221.969999999999"/>
    <n v="0"/>
  </r>
  <r>
    <s v="1030AT"/>
    <n v="88112"/>
    <d v="2018-10-11T00:00:00"/>
    <n v="8040"/>
    <n v="116"/>
    <n v="4"/>
    <n v="760"/>
    <n v="4560"/>
    <x v="0"/>
    <s v="Werner Strauss"/>
    <s v="Unisex tank top white"/>
    <x v="0"/>
    <n v="5357.72"/>
    <n v="6.5359477124183002E-4"/>
  </r>
  <r>
    <s v="1030AT"/>
    <n v="88112"/>
    <d v="2018-10-11T00:00:00"/>
    <n v="8040"/>
    <n v="111"/>
    <m/>
    <n v="590"/>
    <n v="11800"/>
    <x v="0"/>
    <s v="Werner Strauss"/>
    <s v="Smartphone case simple"/>
    <x v="0"/>
    <n v="13864.28"/>
    <n v="0"/>
  </r>
  <r>
    <s v="1030AT"/>
    <n v="88112"/>
    <d v="2018-10-11T00:00:00"/>
    <n v="8040"/>
    <n v="110"/>
    <m/>
    <n v="530"/>
    <n v="31800"/>
    <x v="0"/>
    <s v="Werner Strauss"/>
    <s v="Smartphone case diamond"/>
    <x v="0"/>
    <n v="37363.06"/>
    <n v="0"/>
  </r>
  <r>
    <s v="1030AT"/>
    <n v="88112"/>
    <d v="2018-10-11T00:00:00"/>
    <n v="8040"/>
    <n v="109"/>
    <m/>
    <n v="260"/>
    <n v="7280"/>
    <x v="0"/>
    <s v="Werner Strauss"/>
    <s v="Laptop bag red"/>
    <x v="0"/>
    <n v="8553.56"/>
    <n v="0"/>
  </r>
  <r>
    <s v="1030AT"/>
    <n v="85442"/>
    <d v="2018-10-15T00:00:00"/>
    <n v="8050"/>
    <n v="107"/>
    <m/>
    <n v="270"/>
    <n v="1350"/>
    <x v="0"/>
    <s v="Aida GmbH"/>
    <s v="Women basics"/>
    <x v="0"/>
    <n v="1586.17"/>
    <n v="0"/>
  </r>
  <r>
    <s v="1030AT"/>
    <n v="85442"/>
    <d v="2018-10-15T00:00:00"/>
    <n v="8050"/>
    <n v="103"/>
    <m/>
    <n v="630"/>
    <n v="7560"/>
    <x v="0"/>
    <s v="Aida GmbH"/>
    <s v="Women type T simple white"/>
    <x v="0"/>
    <n v="8882.5400000000009"/>
    <n v="0"/>
  </r>
  <r>
    <s v="1030AT"/>
    <n v="85442"/>
    <d v="2018-10-15T00:00:00"/>
    <n v="8050"/>
    <n v="104"/>
    <m/>
    <n v="440"/>
    <n v="5280"/>
    <x v="0"/>
    <s v="Aida GmbH"/>
    <s v="Women type T simple black"/>
    <x v="0"/>
    <n v="6203.68"/>
    <n v="0"/>
  </r>
  <r>
    <s v="1030AT"/>
    <n v="85442"/>
    <d v="2018-10-15T00:00:00"/>
    <n v="8050"/>
    <n v="120"/>
    <m/>
    <n v="500"/>
    <n v="29000"/>
    <x v="0"/>
    <s v="Aida GmbH"/>
    <s v="Women evening dress Cocktail red"/>
    <x v="0"/>
    <n v="34073.230000000003"/>
    <n v="0"/>
  </r>
  <r>
    <s v="1030AT"/>
    <n v="85442"/>
    <d v="2018-10-15T00:00:00"/>
    <n v="8050"/>
    <n v="119"/>
    <n v="1"/>
    <n v="360"/>
    <n v="22320"/>
    <x v="0"/>
    <s v="Aida GmbH"/>
    <s v="Women evening dress long black"/>
    <x v="0"/>
    <n v="26224.639999999999"/>
    <n v="1.6339869281045751E-4"/>
  </r>
  <r>
    <s v="1030AT"/>
    <n v="85442"/>
    <d v="2018-10-15T00:00:00"/>
    <n v="8050"/>
    <n v="115"/>
    <m/>
    <n v="810"/>
    <n v="4860"/>
    <x v="0"/>
    <s v="Aida GmbH"/>
    <s v="Unisex tank top black"/>
    <x v="0"/>
    <n v="5710.2"/>
    <n v="0"/>
  </r>
  <r>
    <s v="1030AT"/>
    <n v="85442"/>
    <d v="2018-10-15T00:00:00"/>
    <n v="8050"/>
    <n v="108"/>
    <m/>
    <n v="800"/>
    <n v="22400"/>
    <x v="0"/>
    <s v="Aida GmbH"/>
    <s v="Laptop bag black"/>
    <x v="0"/>
    <n v="26318.63"/>
    <n v="0"/>
  </r>
  <r>
    <s v="1030AT"/>
    <n v="88588"/>
    <d v="2018-10-15T00:00:00"/>
    <n v="8040"/>
    <n v="120"/>
    <m/>
    <n v="470"/>
    <n v="27260"/>
    <x v="0"/>
    <s v="Werner Strauss"/>
    <s v="Women evening dress Cocktail red"/>
    <x v="0"/>
    <n v="32028.84"/>
    <n v="0"/>
  </r>
  <r>
    <s v="1030AT"/>
    <n v="88588"/>
    <d v="2018-10-15T00:00:00"/>
    <n v="8040"/>
    <n v="119"/>
    <m/>
    <n v="860"/>
    <n v="53320"/>
    <x v="0"/>
    <s v="Werner Strauss"/>
    <s v="Women evening dress long black"/>
    <x v="0"/>
    <n v="62647.75"/>
    <n v="0"/>
  </r>
  <r>
    <s v="1030AT"/>
    <n v="88588"/>
    <d v="2018-10-15T00:00:00"/>
    <n v="8040"/>
    <n v="110"/>
    <m/>
    <n v="180"/>
    <n v="10800"/>
    <x v="0"/>
    <s v="Werner Strauss"/>
    <s v="Smartphone case diamond"/>
    <x v="0"/>
    <n v="12689.34"/>
    <n v="0"/>
  </r>
  <r>
    <s v="1030AT"/>
    <n v="88588"/>
    <d v="2018-10-15T00:00:00"/>
    <n v="8040"/>
    <n v="111"/>
    <m/>
    <n v="750"/>
    <n v="15000"/>
    <x v="0"/>
    <s v="Werner Strauss"/>
    <s v="Smartphone case simple"/>
    <x v="0"/>
    <n v="17624.09"/>
    <n v="0"/>
  </r>
  <r>
    <s v="1030AT"/>
    <n v="88588"/>
    <d v="2018-10-15T00:00:00"/>
    <n v="8040"/>
    <n v="109"/>
    <m/>
    <n v="560"/>
    <n v="15680"/>
    <x v="0"/>
    <s v="Werner Strauss"/>
    <s v="Laptop bag red"/>
    <x v="0"/>
    <n v="18423.04"/>
    <n v="0"/>
  </r>
  <r>
    <s v="1030AT"/>
    <n v="88588"/>
    <d v="2018-10-15T00:00:00"/>
    <n v="8040"/>
    <n v="105"/>
    <m/>
    <n v="130"/>
    <n v="1300"/>
    <x v="0"/>
    <s v="Werner Strauss"/>
    <s v="Women crop top black"/>
    <x v="0"/>
    <n v="1527.42"/>
    <n v="0"/>
  </r>
  <r>
    <s v="1030AT"/>
    <n v="88588"/>
    <d v="2018-10-15T00:00:00"/>
    <n v="8040"/>
    <n v="103"/>
    <m/>
    <n v="110"/>
    <n v="1320"/>
    <x v="0"/>
    <s v="Werner Strauss"/>
    <s v="Women type T simple white"/>
    <x v="0"/>
    <n v="1550.92"/>
    <n v="0"/>
  </r>
  <r>
    <s v="1030AT"/>
    <n v="88544"/>
    <d v="2018-10-22T00:00:00"/>
    <n v="8040"/>
    <n v="107"/>
    <m/>
    <n v="770"/>
    <n v="3850"/>
    <x v="0"/>
    <s v="Werner Strauss"/>
    <s v="Women basics"/>
    <x v="0"/>
    <n v="4523.5200000000004"/>
    <n v="0"/>
  </r>
  <r>
    <s v="1030AT"/>
    <n v="88544"/>
    <d v="2018-10-22T00:00:00"/>
    <n v="8040"/>
    <n v="120"/>
    <m/>
    <n v="300"/>
    <n v="17400"/>
    <x v="0"/>
    <s v="Werner Strauss"/>
    <s v="Women evening dress Cocktail red"/>
    <x v="0"/>
    <n v="20443.939999999999"/>
    <n v="0"/>
  </r>
  <r>
    <s v="1030AT"/>
    <n v="88666"/>
    <d v="2018-10-26T00:00:00"/>
    <n v="8030"/>
    <n v="119"/>
    <m/>
    <n v="330"/>
    <n v="20460"/>
    <x v="0"/>
    <s v="Edson"/>
    <s v="Women evening dress long black"/>
    <x v="0"/>
    <n v="24039.25"/>
    <n v="0"/>
  </r>
  <r>
    <s v="1030AT"/>
    <n v="88666"/>
    <d v="2018-10-26T00:00:00"/>
    <n v="8030"/>
    <n v="107"/>
    <m/>
    <n v="460"/>
    <n v="2300"/>
    <x v="0"/>
    <s v="Edson"/>
    <s v="Women basics"/>
    <x v="0"/>
    <n v="2702.36"/>
    <n v="0"/>
  </r>
  <r>
    <s v="1030AT"/>
    <n v="88666"/>
    <d v="2018-10-26T00:00:00"/>
    <n v="8030"/>
    <n v="105"/>
    <n v="1"/>
    <n v="470"/>
    <n v="4700"/>
    <x v="0"/>
    <s v="Edson"/>
    <s v="Women crop top black"/>
    <x v="0"/>
    <n v="5522.21"/>
    <n v="1.6339869281045751E-4"/>
  </r>
  <r>
    <s v="1030AT"/>
    <n v="88666"/>
    <d v="2018-10-26T00:00:00"/>
    <n v="8030"/>
    <n v="115"/>
    <m/>
    <n v="390"/>
    <n v="2340"/>
    <x v="0"/>
    <s v="Edson"/>
    <s v="Unisex tank top black"/>
    <x v="0"/>
    <n v="2749.36"/>
    <n v="0"/>
  </r>
  <r>
    <s v="1030AT"/>
    <n v="88666"/>
    <d v="2018-10-26T00:00:00"/>
    <n v="8030"/>
    <n v="116"/>
    <m/>
    <n v="260"/>
    <n v="1560"/>
    <x v="0"/>
    <s v="Edson"/>
    <s v="Unisex tank top white"/>
    <x v="0"/>
    <n v="1832.9"/>
    <n v="0"/>
  </r>
  <r>
    <s v="1040DE"/>
    <n v="44030"/>
    <d v="2018-10-04T00:00:00"/>
    <n v="8060"/>
    <n v="108"/>
    <s v=""/>
    <n v="60"/>
    <n v="1680"/>
    <x v="1"/>
    <s v="Liebher"/>
    <s v="Laptop bag black"/>
    <x v="0"/>
    <n v="1973.9"/>
    <n v="0"/>
  </r>
  <r>
    <s v="1040DE"/>
    <n v="44030"/>
    <d v="2018-10-04T00:00:00"/>
    <n v="8060"/>
    <n v="109"/>
    <n v="1"/>
    <n v="60"/>
    <n v="1680"/>
    <x v="1"/>
    <s v="Liebher"/>
    <s v="Laptop bag red"/>
    <x v="0"/>
    <n v="1973.9"/>
    <n v="1.6339869281045751E-4"/>
  </r>
  <r>
    <s v="1040DE"/>
    <n v="44032"/>
    <d v="2018-10-07T00:00:00"/>
    <n v="8060"/>
    <n v="108"/>
    <s v=""/>
    <n v="60"/>
    <n v="1680"/>
    <x v="1"/>
    <s v="Liebher"/>
    <s v="Laptop bag black"/>
    <x v="0"/>
    <n v="1973.9"/>
    <n v="0"/>
  </r>
  <r>
    <s v="1040DE"/>
    <n v="44032"/>
    <d v="2018-10-07T00:00:00"/>
    <n v="8060"/>
    <n v="109"/>
    <m/>
    <n v="70"/>
    <n v="1960"/>
    <x v="1"/>
    <s v="Liebher"/>
    <s v="Laptop bag red"/>
    <x v="0"/>
    <n v="2302.88"/>
    <n v="0"/>
  </r>
  <r>
    <s v="1040DE"/>
    <n v="44031"/>
    <d v="2018-10-08T00:00:00"/>
    <n v="8050"/>
    <n v="108"/>
    <s v=""/>
    <n v="60"/>
    <n v="1680"/>
    <x v="1"/>
    <s v="Aida GmbH"/>
    <s v="Laptop bag black"/>
    <x v="0"/>
    <n v="1973.9"/>
    <n v="0"/>
  </r>
  <r>
    <s v="1040DE"/>
    <n v="44031"/>
    <d v="2018-10-08T00:00:00"/>
    <n v="8050"/>
    <n v="109"/>
    <s v=""/>
    <n v="50"/>
    <n v="1400"/>
    <x v="1"/>
    <s v="Aida GmbH"/>
    <s v="Laptop bag red"/>
    <x v="0"/>
    <n v="1644.91"/>
    <n v="0"/>
  </r>
  <r>
    <s v="1040DE"/>
    <n v="44031"/>
    <d v="2018-10-08T00:00:00"/>
    <n v="8050"/>
    <n v="110"/>
    <s v=""/>
    <n v="60"/>
    <n v="3600"/>
    <x v="1"/>
    <s v="Aida GmbH"/>
    <s v="Smartphone case diamond"/>
    <x v="0"/>
    <n v="4229.78"/>
    <n v="0"/>
  </r>
  <r>
    <s v="1040DE"/>
    <n v="48112"/>
    <d v="2018-10-11T00:00:00"/>
    <n v="8060"/>
    <n v="109"/>
    <m/>
    <n v="60"/>
    <n v="1680"/>
    <x v="1"/>
    <s v="Liebher"/>
    <s v="Laptop bag red"/>
    <x v="0"/>
    <n v="1973.9"/>
    <n v="0"/>
  </r>
  <r>
    <s v="1040DE"/>
    <n v="48112"/>
    <d v="2018-10-11T00:00:00"/>
    <n v="8060"/>
    <n v="110"/>
    <s v=""/>
    <n v="50"/>
    <n v="3000"/>
    <x v="1"/>
    <s v="Liebher"/>
    <s v="Smartphone case diamond"/>
    <x v="0"/>
    <n v="3524.82"/>
    <n v="0"/>
  </r>
  <r>
    <s v="1040DE"/>
    <n v="48114"/>
    <d v="2018-10-11T00:00:00"/>
    <n v="8050"/>
    <n v="109"/>
    <m/>
    <n v="60"/>
    <n v="1680"/>
    <x v="1"/>
    <s v="Aida GmbH"/>
    <s v="Laptop bag red"/>
    <x v="0"/>
    <n v="1973.9"/>
    <n v="0"/>
  </r>
  <r>
    <s v="1040DE"/>
    <n v="48114"/>
    <d v="2018-10-11T00:00:00"/>
    <n v="8050"/>
    <n v="110"/>
    <m/>
    <n v="60"/>
    <n v="3600"/>
    <x v="1"/>
    <s v="Aida GmbH"/>
    <s v="Smartphone case diamond"/>
    <x v="0"/>
    <n v="4229.78"/>
    <n v="0"/>
  </r>
  <r>
    <s v="1040DE"/>
    <n v="48114"/>
    <d v="2018-10-11T00:00:00"/>
    <n v="8050"/>
    <n v="111"/>
    <m/>
    <n v="80"/>
    <n v="1600"/>
    <x v="1"/>
    <s v="Aida GmbH"/>
    <s v="Smartphone case simple"/>
    <x v="0"/>
    <n v="1879.9"/>
    <n v="0"/>
  </r>
  <r>
    <s v="1040DE"/>
    <n v="48116"/>
    <d v="2018-10-11T00:00:00"/>
    <n v="8060"/>
    <n v="109"/>
    <m/>
    <n v="60"/>
    <n v="1680"/>
    <x v="1"/>
    <s v="Liebher"/>
    <s v="Laptop bag red"/>
    <x v="0"/>
    <n v="1973.9"/>
    <n v="0"/>
  </r>
  <r>
    <s v="1040DE"/>
    <n v="48116"/>
    <d v="2018-10-11T00:00:00"/>
    <n v="8060"/>
    <n v="110"/>
    <m/>
    <n v="60"/>
    <n v="3600"/>
    <x v="1"/>
    <s v="Liebher"/>
    <s v="Smartphone case diamond"/>
    <x v="0"/>
    <n v="4229.78"/>
    <n v="0"/>
  </r>
  <r>
    <s v="1040DE"/>
    <n v="45442"/>
    <d v="2018-10-15T00:00:00"/>
    <n v="8050"/>
    <n v="108"/>
    <m/>
    <n v="50"/>
    <n v="1400"/>
    <x v="1"/>
    <s v="Aida GmbH"/>
    <s v="Laptop bag black"/>
    <x v="0"/>
    <n v="1644.91"/>
    <n v="0"/>
  </r>
  <r>
    <s v="1040DE"/>
    <n v="45442"/>
    <d v="2018-10-15T00:00:00"/>
    <n v="8050"/>
    <n v="109"/>
    <n v="1"/>
    <n v="60"/>
    <n v="1680"/>
    <x v="1"/>
    <s v="Aida GmbH"/>
    <s v="Laptop bag red"/>
    <x v="0"/>
    <n v="1973.9"/>
    <n v="1.6339869281045751E-4"/>
  </r>
  <r>
    <s v="1040DE"/>
    <n v="45444"/>
    <d v="2018-10-15T00:00:00"/>
    <n v="8060"/>
    <n v="108"/>
    <m/>
    <n v="60"/>
    <n v="1680"/>
    <x v="1"/>
    <s v="Liebher"/>
    <s v="Laptop bag black"/>
    <x v="0"/>
    <n v="1973.9"/>
    <n v="0"/>
  </r>
  <r>
    <s v="1040DE"/>
    <n v="45444"/>
    <d v="2018-10-15T00:00:00"/>
    <n v="8060"/>
    <n v="109"/>
    <m/>
    <n v="70"/>
    <n v="1960"/>
    <x v="1"/>
    <s v="Liebher"/>
    <s v="Laptop bag red"/>
    <x v="0"/>
    <n v="2302.88"/>
    <n v="0"/>
  </r>
  <r>
    <s v="1040DE"/>
    <n v="45444"/>
    <d v="2018-10-15T00:00:00"/>
    <n v="8060"/>
    <n v="110"/>
    <m/>
    <n v="60"/>
    <n v="3600"/>
    <x v="1"/>
    <s v="Liebher"/>
    <s v="Smartphone case diamond"/>
    <x v="0"/>
    <n v="4229.78"/>
    <n v="0"/>
  </r>
  <r>
    <s v="1040DE"/>
    <n v="45446"/>
    <d v="2018-10-15T00:00:00"/>
    <n v="8050"/>
    <n v="111"/>
    <m/>
    <n v="80"/>
    <n v="1600"/>
    <x v="1"/>
    <s v="Aida GmbH"/>
    <s v="Smartphone case simple"/>
    <x v="0"/>
    <n v="1879.9"/>
    <n v="0"/>
  </r>
  <r>
    <s v="1040DE"/>
    <n v="45446"/>
    <d v="2018-10-15T00:00:00"/>
    <n v="8050"/>
    <n v="108"/>
    <m/>
    <n v="50"/>
    <n v="1400"/>
    <x v="1"/>
    <s v="Aida GmbH"/>
    <s v="Laptop bag black"/>
    <x v="0"/>
    <n v="1644.91"/>
    <n v="0"/>
  </r>
  <r>
    <s v="1040DE"/>
    <n v="44015"/>
    <d v="2018-10-10T00:00:00"/>
    <n v="8060"/>
    <n v="108"/>
    <m/>
    <n v="60"/>
    <n v="1680"/>
    <x v="1"/>
    <s v="Liebher"/>
    <s v="Laptop bag black"/>
    <x v="0"/>
    <n v="1973.9"/>
    <n v="0"/>
  </r>
  <r>
    <s v="1040DE"/>
    <n v="44015"/>
    <d v="2018-10-10T00:00:00"/>
    <n v="8060"/>
    <n v="109"/>
    <m/>
    <n v="70"/>
    <n v="1960"/>
    <x v="1"/>
    <s v="Liebher"/>
    <s v="Laptop bag red"/>
    <x v="0"/>
    <n v="2302.88"/>
    <n v="0"/>
  </r>
  <r>
    <s v="1040DE"/>
    <n v="44017"/>
    <d v="2018-10-13T00:00:00"/>
    <n v="8060"/>
    <n v="108"/>
    <m/>
    <n v="70"/>
    <n v="1960"/>
    <x v="1"/>
    <s v="Liebher"/>
    <s v="Laptop bag black"/>
    <x v="0"/>
    <n v="2302.88"/>
    <n v="0"/>
  </r>
  <r>
    <s v="1040DE"/>
    <n v="44017"/>
    <d v="2018-10-13T00:00:00"/>
    <n v="8060"/>
    <n v="109"/>
    <m/>
    <n v="70"/>
    <n v="1960"/>
    <x v="1"/>
    <s v="Liebher"/>
    <s v="Laptop bag red"/>
    <x v="0"/>
    <n v="2302.88"/>
    <n v="0"/>
  </r>
  <r>
    <s v="1040DE"/>
    <n v="44016"/>
    <d v="2018-10-14T00:00:00"/>
    <n v="8050"/>
    <n v="108"/>
    <m/>
    <n v="70"/>
    <n v="1960"/>
    <x v="1"/>
    <s v="Aida GmbH"/>
    <s v="Laptop bag black"/>
    <x v="0"/>
    <n v="2302.88"/>
    <n v="0"/>
  </r>
  <r>
    <s v="1040DE"/>
    <n v="44016"/>
    <d v="2018-10-14T00:00:00"/>
    <n v="8050"/>
    <n v="109"/>
    <n v="1"/>
    <n v="60"/>
    <n v="1680"/>
    <x v="1"/>
    <s v="Aida GmbH"/>
    <s v="Laptop bag red"/>
    <x v="0"/>
    <n v="1973.9"/>
    <n v="1.6339869281045751E-4"/>
  </r>
  <r>
    <s v="1040DE"/>
    <n v="44016"/>
    <d v="2018-10-14T00:00:00"/>
    <n v="8050"/>
    <n v="110"/>
    <m/>
    <n v="50"/>
    <n v="3000"/>
    <x v="1"/>
    <s v="Aida GmbH"/>
    <s v="Smartphone case diamond"/>
    <x v="0"/>
    <n v="3524.82"/>
    <n v="0"/>
  </r>
  <r>
    <s v="1040DE"/>
    <n v="48097"/>
    <d v="2018-10-17T00:00:00"/>
    <n v="8060"/>
    <n v="109"/>
    <m/>
    <n v="60"/>
    <n v="1680"/>
    <x v="1"/>
    <s v="Liebher"/>
    <s v="Laptop bag red"/>
    <x v="0"/>
    <n v="1973.9"/>
    <n v="0"/>
  </r>
  <r>
    <s v="1040DE"/>
    <n v="48097"/>
    <d v="2018-10-17T00:00:00"/>
    <n v="8060"/>
    <n v="110"/>
    <m/>
    <n v="70"/>
    <n v="4200"/>
    <x v="1"/>
    <s v="Liebher"/>
    <s v="Smartphone case diamond"/>
    <x v="0"/>
    <n v="4934.74"/>
    <n v="0"/>
  </r>
  <r>
    <s v="1040DE"/>
    <n v="48099"/>
    <d v="2018-10-17T00:00:00"/>
    <n v="8050"/>
    <n v="109"/>
    <n v="1"/>
    <n v="60"/>
    <n v="1680"/>
    <x v="1"/>
    <s v="Aida GmbH"/>
    <s v="Laptop bag red"/>
    <x v="0"/>
    <n v="1973.9"/>
    <n v="1.6339869281045751E-4"/>
  </r>
  <r>
    <s v="1040DE"/>
    <n v="48099"/>
    <d v="2018-10-17T00:00:00"/>
    <n v="8050"/>
    <n v="110"/>
    <m/>
    <n v="60"/>
    <n v="3600"/>
    <x v="1"/>
    <s v="Aida GmbH"/>
    <s v="Smartphone case diamond"/>
    <x v="0"/>
    <n v="4229.78"/>
    <n v="0"/>
  </r>
  <r>
    <s v="1040DE"/>
    <n v="48099"/>
    <d v="2018-10-17T00:00:00"/>
    <n v="8050"/>
    <n v="111"/>
    <m/>
    <n v="60"/>
    <n v="1200"/>
    <x v="1"/>
    <s v="Aida GmbH"/>
    <s v="Smartphone case simple"/>
    <x v="0"/>
    <n v="1409.93"/>
    <n v="0"/>
  </r>
  <r>
    <s v="1040DE"/>
    <n v="48101"/>
    <d v="2018-10-17T00:00:00"/>
    <n v="8060"/>
    <n v="109"/>
    <m/>
    <n v="60"/>
    <n v="1680"/>
    <x v="1"/>
    <s v="Liebher"/>
    <s v="Laptop bag red"/>
    <x v="0"/>
    <n v="1973.9"/>
    <n v="0"/>
  </r>
  <r>
    <s v="1040DE"/>
    <n v="48101"/>
    <d v="2018-10-17T00:00:00"/>
    <n v="8060"/>
    <n v="110"/>
    <m/>
    <n v="50"/>
    <n v="3000"/>
    <x v="1"/>
    <s v="Liebher"/>
    <s v="Smartphone case diamond"/>
    <x v="0"/>
    <n v="3524.82"/>
    <n v="0"/>
  </r>
  <r>
    <s v="1040DE"/>
    <n v="45427"/>
    <d v="2018-10-21T00:00:00"/>
    <n v="8050"/>
    <n v="108"/>
    <m/>
    <n v="70"/>
    <n v="1960"/>
    <x v="1"/>
    <s v="Aida GmbH"/>
    <s v="Laptop bag black"/>
    <x v="0"/>
    <n v="2302.88"/>
    <n v="0"/>
  </r>
  <r>
    <s v="1040DE"/>
    <n v="45427"/>
    <d v="2018-10-21T00:00:00"/>
    <n v="8050"/>
    <n v="109"/>
    <m/>
    <n v="60"/>
    <n v="1680"/>
    <x v="1"/>
    <s v="Aida GmbH"/>
    <s v="Laptop bag red"/>
    <x v="0"/>
    <n v="1973.9"/>
    <n v="0"/>
  </r>
  <r>
    <s v="1040DE"/>
    <n v="45429"/>
    <d v="2018-10-21T00:00:00"/>
    <n v="8060"/>
    <n v="108"/>
    <m/>
    <n v="80"/>
    <n v="2240"/>
    <x v="1"/>
    <s v="Liebher"/>
    <s v="Laptop bag black"/>
    <x v="0"/>
    <n v="2631.86"/>
    <n v="0"/>
  </r>
  <r>
    <s v="1040DE"/>
    <n v="45429"/>
    <d v="2018-10-21T00:00:00"/>
    <n v="8060"/>
    <n v="109"/>
    <n v="2"/>
    <n v="80"/>
    <n v="2240"/>
    <x v="1"/>
    <s v="Liebher"/>
    <s v="Laptop bag red"/>
    <x v="0"/>
    <n v="2631.86"/>
    <n v="3.2679738562091501E-4"/>
  </r>
  <r>
    <s v="1040DE"/>
    <n v="45429"/>
    <d v="2018-10-21T00:00:00"/>
    <n v="8060"/>
    <n v="110"/>
    <m/>
    <n v="50"/>
    <n v="3000"/>
    <x v="1"/>
    <s v="Liebher"/>
    <s v="Smartphone case diamond"/>
    <x v="0"/>
    <n v="3524.82"/>
    <n v="0"/>
  </r>
  <r>
    <s v="1040DE"/>
    <n v="45431"/>
    <d v="2018-10-21T00:00:00"/>
    <n v="8050"/>
    <n v="111"/>
    <m/>
    <n v="60"/>
    <n v="1200"/>
    <x v="1"/>
    <s v="Aida GmbH"/>
    <s v="Smartphone case simple"/>
    <x v="0"/>
    <n v="1409.93"/>
    <n v="0"/>
  </r>
  <r>
    <s v="1040DE"/>
    <n v="45431"/>
    <d v="2018-10-21T00:00:00"/>
    <n v="8050"/>
    <n v="108"/>
    <m/>
    <n v="60"/>
    <n v="1680"/>
    <x v="1"/>
    <s v="Aida GmbH"/>
    <s v="Laptop bag black"/>
    <x v="0"/>
    <n v="1973.9"/>
    <n v="0"/>
  </r>
  <r>
    <s v="1020US"/>
    <n v="24030"/>
    <d v="2018-10-02T00:00:00"/>
    <n v="8020"/>
    <n v="101"/>
    <n v="1"/>
    <n v="130"/>
    <n v="1560"/>
    <x v="2"/>
    <s v="Erma"/>
    <s v="Men type T simple white"/>
    <x v="1"/>
    <n v="1560"/>
    <n v="1.6339869281045751E-4"/>
  </r>
  <r>
    <s v="1020US"/>
    <n v="24030"/>
    <d v="2018-10-02T00:00:00"/>
    <n v="8020"/>
    <n v="102"/>
    <m/>
    <n v="30"/>
    <n v="360"/>
    <x v="2"/>
    <s v="Erma"/>
    <s v="Men type T simple black"/>
    <x v="1"/>
    <n v="360"/>
    <n v="0"/>
  </r>
  <r>
    <s v="1020US"/>
    <n v="24030"/>
    <d v="2018-10-02T00:00:00"/>
    <n v="8020"/>
    <n v="106"/>
    <s v=""/>
    <n v="60"/>
    <n v="300"/>
    <x v="2"/>
    <s v="Erma"/>
    <s v="Men basics"/>
    <x v="1"/>
    <n v="300"/>
    <n v="0"/>
  </r>
  <r>
    <s v="1020US"/>
    <n v="24030"/>
    <d v="2018-10-02T00:00:00"/>
    <n v="8020"/>
    <n v="108"/>
    <m/>
    <n v="80"/>
    <n v="2240"/>
    <x v="2"/>
    <s v="Erma"/>
    <s v="Laptop bag black"/>
    <x v="1"/>
    <n v="2240"/>
    <n v="0"/>
  </r>
  <r>
    <s v="1020US"/>
    <n v="24031"/>
    <d v="2018-10-08T00:00:00"/>
    <n v="8020"/>
    <n v="101"/>
    <s v=""/>
    <n v="100"/>
    <n v="1200"/>
    <x v="2"/>
    <s v="Erma"/>
    <s v="Men type T simple white"/>
    <x v="1"/>
    <n v="1200"/>
    <n v="0"/>
  </r>
  <r>
    <s v="1020US"/>
    <n v="24031"/>
    <d v="2018-10-08T00:00:00"/>
    <n v="8020"/>
    <n v="108"/>
    <s v=""/>
    <n v="20"/>
    <n v="560"/>
    <x v="2"/>
    <s v="Erma"/>
    <s v="Laptop bag black"/>
    <x v="1"/>
    <n v="560"/>
    <n v="0"/>
  </r>
  <r>
    <s v="1020US"/>
    <n v="24031"/>
    <d v="2018-10-08T00:00:00"/>
    <n v="8020"/>
    <n v="113"/>
    <s v=""/>
    <n v="100"/>
    <n v="2500"/>
    <x v="2"/>
    <s v="Erma"/>
    <s v="Men dress shirt black"/>
    <x v="1"/>
    <n v="2500"/>
    <n v="0"/>
  </r>
  <r>
    <s v="1020US"/>
    <n v="28112"/>
    <d v="2018-10-12T00:00:00"/>
    <n v="8020"/>
    <n v="114"/>
    <n v="1"/>
    <n v="50"/>
    <n v="1250"/>
    <x v="2"/>
    <s v="Erma"/>
    <s v="Men dress shirt grey"/>
    <x v="1"/>
    <n v="1250"/>
    <n v="1.6339869281045751E-4"/>
  </r>
  <r>
    <s v="1020US"/>
    <n v="28112"/>
    <d v="2018-10-12T00:00:00"/>
    <n v="8020"/>
    <n v="101"/>
    <s v=""/>
    <n v="40"/>
    <n v="480"/>
    <x v="2"/>
    <s v="Erma"/>
    <s v="Men type T simple white"/>
    <x v="1"/>
    <n v="480"/>
    <n v="0"/>
  </r>
  <r>
    <s v="1020US"/>
    <n v="28112"/>
    <d v="2018-10-12T00:00:00"/>
    <n v="8020"/>
    <n v="102"/>
    <m/>
    <n v="70"/>
    <n v="840"/>
    <x v="2"/>
    <s v="Erma"/>
    <s v="Men type T simple black"/>
    <x v="1"/>
    <n v="840"/>
    <n v="0"/>
  </r>
  <r>
    <s v="1020US"/>
    <n v="28112"/>
    <d v="2018-10-12T00:00:00"/>
    <n v="8020"/>
    <n v="106"/>
    <m/>
    <n v="70"/>
    <n v="350"/>
    <x v="2"/>
    <s v="Erma"/>
    <s v="Men basics"/>
    <x v="1"/>
    <n v="350"/>
    <n v="0"/>
  </r>
  <r>
    <s v="1020US"/>
    <n v="28112"/>
    <d v="2018-10-12T00:00:00"/>
    <n v="8020"/>
    <n v="108"/>
    <m/>
    <n v="10"/>
    <n v="280"/>
    <x v="2"/>
    <s v="Erma"/>
    <s v="Laptop bag black"/>
    <x v="1"/>
    <n v="280"/>
    <n v="0"/>
  </r>
  <r>
    <s v="1020US"/>
    <n v="28112"/>
    <d v="2018-10-12T00:00:00"/>
    <n v="8020"/>
    <n v="117"/>
    <m/>
    <n v="80"/>
    <n v="1440"/>
    <x v="2"/>
    <s v="Erma"/>
    <s v="Men shorts grey"/>
    <x v="1"/>
    <n v="1440"/>
    <n v="0"/>
  </r>
  <r>
    <s v="1020US"/>
    <n v="28112"/>
    <d v="2018-10-12T00:00:00"/>
    <n v="8020"/>
    <n v="118"/>
    <m/>
    <n v="70"/>
    <n v="1260"/>
    <x v="2"/>
    <s v="Erma"/>
    <s v="Men shorts black"/>
    <x v="1"/>
    <n v="1260"/>
    <n v="0"/>
  </r>
  <r>
    <s v="1020US"/>
    <n v="25442"/>
    <d v="2018-10-16T00:00:00"/>
    <n v="8010"/>
    <n v="118"/>
    <m/>
    <n v="70"/>
    <n v="1260"/>
    <x v="2"/>
    <s v="Dellicia"/>
    <s v="Men shorts black"/>
    <x v="1"/>
    <n v="1260"/>
    <n v="0"/>
  </r>
  <r>
    <s v="1020US"/>
    <n v="25442"/>
    <d v="2018-10-16T00:00:00"/>
    <n v="8010"/>
    <n v="117"/>
    <n v="6"/>
    <n v="80"/>
    <n v="1440"/>
    <x v="2"/>
    <s v="Dellicia"/>
    <s v="Men shorts grey"/>
    <x v="1"/>
    <n v="1440"/>
    <n v="9.8039215686274508E-4"/>
  </r>
  <r>
    <s v="1020US"/>
    <n v="25442"/>
    <d v="2018-10-16T00:00:00"/>
    <n v="8010"/>
    <n v="118"/>
    <m/>
    <n v="70"/>
    <n v="1260"/>
    <x v="2"/>
    <s v="Dellicia"/>
    <s v="Men shorts black"/>
    <x v="1"/>
    <n v="1260"/>
    <n v="0"/>
  </r>
  <r>
    <s v="1020US"/>
    <n v="25442"/>
    <d v="2018-10-16T00:00:00"/>
    <n v="8010"/>
    <n v="116"/>
    <n v="1"/>
    <n v="60"/>
    <n v="360"/>
    <x v="2"/>
    <s v="Dellicia"/>
    <s v="Unisex tank top white"/>
    <x v="1"/>
    <n v="360"/>
    <n v="1.6339869281045751E-4"/>
  </r>
  <r>
    <s v="1020US"/>
    <n v="25442"/>
    <d v="2018-10-16T00:00:00"/>
    <n v="8010"/>
    <n v="106"/>
    <m/>
    <n v="20"/>
    <n v="100"/>
    <x v="2"/>
    <s v="Dellicia"/>
    <s v="Men basics"/>
    <x v="1"/>
    <n v="100"/>
    <n v="0"/>
  </r>
  <r>
    <s v="1020US"/>
    <n v="25442"/>
    <d v="2018-10-16T00:00:00"/>
    <n v="8010"/>
    <n v="101"/>
    <m/>
    <n v="40"/>
    <n v="480"/>
    <x v="2"/>
    <s v="Dellicia"/>
    <s v="Men type T simple white"/>
    <x v="1"/>
    <n v="480"/>
    <n v="0"/>
  </r>
  <r>
    <s v="1020US"/>
    <n v="25442"/>
    <d v="2018-10-16T00:00:00"/>
    <n v="8010"/>
    <n v="102"/>
    <m/>
    <n v="10"/>
    <n v="120"/>
    <x v="2"/>
    <s v="Dellicia"/>
    <s v="Men type T simple black"/>
    <x v="1"/>
    <n v="120"/>
    <n v="0"/>
  </r>
  <r>
    <s v="1010US"/>
    <n v="66030"/>
    <d v="2018-10-04T00:00:00"/>
    <n v="8010"/>
    <n v="103"/>
    <s v=""/>
    <n v="120"/>
    <n v="1440"/>
    <x v="3"/>
    <s v="Dellicia"/>
    <s v="Women type T simple white"/>
    <x v="1"/>
    <n v="1440"/>
    <n v="0"/>
  </r>
  <r>
    <s v="1010US"/>
    <n v="66030"/>
    <d v="2018-10-04T00:00:00"/>
    <n v="8010"/>
    <n v="104"/>
    <m/>
    <n v="150"/>
    <n v="1800"/>
    <x v="3"/>
    <s v="Dellicia"/>
    <s v="Women type T simple black"/>
    <x v="1"/>
    <n v="1800"/>
    <n v="0"/>
  </r>
  <r>
    <s v="1010US"/>
    <n v="66032"/>
    <d v="2018-10-07T00:00:00"/>
    <n v="8010"/>
    <n v="103"/>
    <m/>
    <n v="170"/>
    <n v="2040"/>
    <x v="3"/>
    <s v="Dellicia"/>
    <s v="Women type T simple white"/>
    <x v="1"/>
    <n v="2040"/>
    <n v="0"/>
  </r>
  <r>
    <s v="1010US"/>
    <n v="66032"/>
    <d v="2018-10-07T00:00:00"/>
    <n v="8010"/>
    <n v="104"/>
    <m/>
    <n v="140"/>
    <n v="1680"/>
    <x v="3"/>
    <s v="Dellicia"/>
    <s v="Women type T simple black"/>
    <x v="1"/>
    <n v="1680"/>
    <n v="0"/>
  </r>
  <r>
    <s v="1010US"/>
    <n v="66031"/>
    <d v="2018-10-08T00:00:00"/>
    <n v="8020"/>
    <n v="103"/>
    <n v="1"/>
    <n v="140"/>
    <n v="1680"/>
    <x v="3"/>
    <s v="Erma"/>
    <s v="Women type T simple white"/>
    <x v="1"/>
    <n v="1680"/>
    <n v="1.6339869281045751E-4"/>
  </r>
  <r>
    <s v="1010US"/>
    <n v="66031"/>
    <d v="2018-10-08T00:00:00"/>
    <n v="8020"/>
    <n v="104"/>
    <m/>
    <n v="150"/>
    <n v="1800"/>
    <x v="3"/>
    <s v="Erma"/>
    <s v="Women type T simple black"/>
    <x v="1"/>
    <n v="1800"/>
    <n v="0"/>
  </r>
  <r>
    <s v="1010US"/>
    <n v="66031"/>
    <d v="2018-10-08T00:00:00"/>
    <n v="8020"/>
    <n v="105"/>
    <m/>
    <n v="100"/>
    <n v="1000"/>
    <x v="3"/>
    <s v="Erma"/>
    <s v="Women crop top black"/>
    <x v="1"/>
    <n v="1000"/>
    <n v="0"/>
  </r>
  <r>
    <s v="1010US"/>
    <n v="68112"/>
    <d v="2018-10-11T00:00:00"/>
    <n v="8010"/>
    <n v="104"/>
    <n v="4"/>
    <n v="180"/>
    <n v="2160"/>
    <x v="3"/>
    <s v="Dellicia"/>
    <s v="Women type T simple black"/>
    <x v="1"/>
    <n v="2160"/>
    <n v="6.5359477124183002E-4"/>
  </r>
  <r>
    <s v="1010US"/>
    <n v="68112"/>
    <d v="2018-10-11T00:00:00"/>
    <n v="8010"/>
    <n v="105"/>
    <m/>
    <n v="120"/>
    <n v="1200"/>
    <x v="3"/>
    <s v="Dellicia"/>
    <s v="Women crop top black"/>
    <x v="1"/>
    <n v="1200"/>
    <n v="0"/>
  </r>
  <r>
    <s v="1010US"/>
    <n v="68116"/>
    <d v="2018-10-11T00:00:00"/>
    <n v="8020"/>
    <n v="104"/>
    <m/>
    <n v="150"/>
    <n v="1800"/>
    <x v="3"/>
    <s v="Erma"/>
    <s v="Women type T simple black"/>
    <x v="1"/>
    <n v="1800"/>
    <n v="0"/>
  </r>
  <r>
    <s v="1010US"/>
    <n v="68116"/>
    <d v="2018-10-11T00:00:00"/>
    <n v="8020"/>
    <n v="105"/>
    <m/>
    <n v="190"/>
    <n v="1900"/>
    <x v="3"/>
    <s v="Erma"/>
    <s v="Women crop top black"/>
    <x v="1"/>
    <n v="1900"/>
    <n v="0"/>
  </r>
  <r>
    <s v="1010US"/>
    <n v="68116"/>
    <d v="2018-10-11T00:00:00"/>
    <n v="8020"/>
    <n v="107"/>
    <n v="2"/>
    <n v="160"/>
    <n v="800"/>
    <x v="3"/>
    <s v="Erma"/>
    <s v="Women basics"/>
    <x v="1"/>
    <n v="800"/>
    <n v="3.2679738562091501E-4"/>
  </r>
  <r>
    <s v="1010US"/>
    <n v="68116"/>
    <d v="2018-10-11T00:00:00"/>
    <n v="8010"/>
    <n v="104"/>
    <m/>
    <n v="160"/>
    <n v="1920"/>
    <x v="3"/>
    <s v="Dellicia"/>
    <s v="Women type T simple black"/>
    <x v="1"/>
    <n v="1920"/>
    <n v="0"/>
  </r>
  <r>
    <s v="1010US"/>
    <n v="68116"/>
    <d v="2018-10-11T00:00:00"/>
    <n v="8010"/>
    <n v="105"/>
    <m/>
    <n v="190"/>
    <n v="1900"/>
    <x v="3"/>
    <s v="Dellicia"/>
    <s v="Women crop top black"/>
    <x v="1"/>
    <n v="1900"/>
    <n v="0"/>
  </r>
  <r>
    <s v="1010US"/>
    <n v="65662"/>
    <d v="2018-10-15T00:00:00"/>
    <n v="8020"/>
    <n v="103"/>
    <m/>
    <n v="120"/>
    <n v="1440"/>
    <x v="3"/>
    <s v="Erma"/>
    <s v="Women type T simple white"/>
    <x v="1"/>
    <n v="1440"/>
    <n v="0"/>
  </r>
  <r>
    <s v="1010US"/>
    <n v="65662"/>
    <d v="2018-10-15T00:00:00"/>
    <n v="8020"/>
    <n v="104"/>
    <m/>
    <n v="110"/>
    <n v="1320"/>
    <x v="3"/>
    <s v="Erma"/>
    <s v="Women type T simple black"/>
    <x v="1"/>
    <n v="1320"/>
    <n v="0"/>
  </r>
  <r>
    <s v="1010US"/>
    <n v="65666"/>
    <d v="2018-10-15T00:00:00"/>
    <n v="8010"/>
    <n v="103"/>
    <m/>
    <n v="120"/>
    <n v="1440"/>
    <x v="3"/>
    <s v="Dellicia"/>
    <s v="Women type T simple white"/>
    <x v="1"/>
    <n v="1440"/>
    <n v="0"/>
  </r>
  <r>
    <s v="1010US"/>
    <n v="65666"/>
    <d v="2018-10-15T00:00:00"/>
    <n v="8010"/>
    <n v="104"/>
    <m/>
    <n v="140"/>
    <n v="1680"/>
    <x v="3"/>
    <s v="Dellicia"/>
    <s v="Women type T simple black"/>
    <x v="1"/>
    <n v="1680"/>
    <n v="0"/>
  </r>
  <r>
    <s v="1010US"/>
    <n v="65666"/>
    <d v="2018-10-15T00:00:00"/>
    <n v="8010"/>
    <n v="105"/>
    <m/>
    <n v="160"/>
    <n v="1600"/>
    <x v="3"/>
    <s v="Dellicia"/>
    <s v="Women crop top black"/>
    <x v="1"/>
    <n v="1600"/>
    <n v="0"/>
  </r>
  <r>
    <s v="1010US"/>
    <n v="65666"/>
    <d v="2018-10-15T00:00:00"/>
    <n v="8020"/>
    <n v="107"/>
    <m/>
    <n v="120"/>
    <n v="600"/>
    <x v="3"/>
    <s v="Erma"/>
    <s v="Women basics"/>
    <x v="1"/>
    <n v="600"/>
    <n v="0"/>
  </r>
  <r>
    <s v="1010US"/>
    <n v="65666"/>
    <d v="2018-10-15T00:00:00"/>
    <n v="8020"/>
    <n v="103"/>
    <m/>
    <n v="200"/>
    <n v="2400"/>
    <x v="3"/>
    <s v="Erma"/>
    <s v="Women type T simple white"/>
    <x v="1"/>
    <n v="2400"/>
    <n v="0"/>
  </r>
  <r>
    <s v="1010US"/>
    <n v="66015"/>
    <d v="2018-10-10T00:00:00"/>
    <n v="8010"/>
    <n v="103"/>
    <m/>
    <n v="140"/>
    <n v="1680"/>
    <x v="3"/>
    <s v="Dellicia"/>
    <s v="Women type T simple white"/>
    <x v="1"/>
    <n v="1680"/>
    <n v="0"/>
  </r>
  <r>
    <s v="1010US"/>
    <n v="66015"/>
    <d v="2018-10-10T00:00:00"/>
    <n v="8010"/>
    <n v="104"/>
    <m/>
    <n v="140"/>
    <n v="1680"/>
    <x v="3"/>
    <s v="Dellicia"/>
    <s v="Women type T simple black"/>
    <x v="1"/>
    <n v="1680"/>
    <n v="0"/>
  </r>
  <r>
    <s v="1010US"/>
    <n v="66017"/>
    <d v="2018-10-13T00:00:00"/>
    <n v="8010"/>
    <n v="103"/>
    <m/>
    <n v="140"/>
    <n v="1680"/>
    <x v="3"/>
    <s v="Dellicia"/>
    <s v="Women type T simple white"/>
    <x v="1"/>
    <n v="1680"/>
    <n v="0"/>
  </r>
  <r>
    <s v="1010US"/>
    <n v="66017"/>
    <d v="2018-10-13T00:00:00"/>
    <n v="8010"/>
    <n v="104"/>
    <m/>
    <n v="140"/>
    <n v="1680"/>
    <x v="3"/>
    <s v="Dellicia"/>
    <s v="Women type T simple black"/>
    <x v="1"/>
    <n v="1680"/>
    <n v="0"/>
  </r>
  <r>
    <s v="1010US"/>
    <n v="66016"/>
    <d v="2018-10-14T00:00:00"/>
    <n v="8020"/>
    <n v="103"/>
    <m/>
    <n v="120"/>
    <n v="1440"/>
    <x v="3"/>
    <s v="Erma"/>
    <s v="Women type T simple white"/>
    <x v="1"/>
    <n v="1440"/>
    <n v="0"/>
  </r>
  <r>
    <s v="1010US"/>
    <n v="66016"/>
    <d v="2018-10-14T00:00:00"/>
    <n v="8020"/>
    <n v="104"/>
    <m/>
    <n v="130"/>
    <n v="1560"/>
    <x v="3"/>
    <s v="Erma"/>
    <s v="Women type T simple black"/>
    <x v="1"/>
    <n v="1560"/>
    <n v="0"/>
  </r>
  <r>
    <s v="1010US"/>
    <n v="66016"/>
    <d v="2018-10-14T00:00:00"/>
    <n v="8020"/>
    <n v="105"/>
    <m/>
    <n v="120"/>
    <n v="1200"/>
    <x v="3"/>
    <s v="Erma"/>
    <s v="Women crop top black"/>
    <x v="1"/>
    <n v="1200"/>
    <n v="0"/>
  </r>
  <r>
    <s v="1010US"/>
    <n v="68097"/>
    <d v="2018-10-17T00:00:00"/>
    <n v="8010"/>
    <n v="104"/>
    <m/>
    <n v="140"/>
    <n v="1680"/>
    <x v="3"/>
    <s v="Dellicia"/>
    <s v="Women type T simple black"/>
    <x v="1"/>
    <n v="1680"/>
    <n v="0"/>
  </r>
  <r>
    <s v="1010US"/>
    <n v="68097"/>
    <d v="2018-10-17T00:00:00"/>
    <n v="8010"/>
    <n v="105"/>
    <m/>
    <n v="130"/>
    <n v="1300"/>
    <x v="3"/>
    <s v="Dellicia"/>
    <s v="Women crop top black"/>
    <x v="1"/>
    <n v="1300"/>
    <n v="0"/>
  </r>
  <r>
    <s v="1010US"/>
    <n v="68099"/>
    <d v="2018-10-17T00:00:00"/>
    <n v="8020"/>
    <n v="104"/>
    <m/>
    <n v="120"/>
    <n v="1440"/>
    <x v="3"/>
    <s v="Erma"/>
    <s v="Women type T simple black"/>
    <x v="1"/>
    <n v="1440"/>
    <n v="0"/>
  </r>
  <r>
    <s v="1010US"/>
    <n v="68099"/>
    <d v="2018-10-17T00:00:00"/>
    <n v="8020"/>
    <n v="105"/>
    <n v="2"/>
    <n v="140"/>
    <n v="1400"/>
    <x v="3"/>
    <s v="Erma"/>
    <s v="Women crop top black"/>
    <x v="1"/>
    <n v="1400"/>
    <n v="3.2679738562091501E-4"/>
  </r>
  <r>
    <s v="1010US"/>
    <n v="68099"/>
    <d v="2018-10-17T00:00:00"/>
    <n v="8020"/>
    <n v="107"/>
    <m/>
    <n v="170"/>
    <n v="850"/>
    <x v="3"/>
    <s v="Erma"/>
    <s v="Women basics"/>
    <x v="1"/>
    <n v="850"/>
    <n v="0"/>
  </r>
  <r>
    <s v="1010US"/>
    <n v="68101"/>
    <d v="2018-10-17T00:00:00"/>
    <n v="8010"/>
    <n v="104"/>
    <m/>
    <n v="190"/>
    <n v="2280"/>
    <x v="3"/>
    <s v="Dellicia"/>
    <s v="Women type T simple black"/>
    <x v="1"/>
    <n v="2280"/>
    <n v="0"/>
  </r>
  <r>
    <s v="1010US"/>
    <n v="68101"/>
    <d v="2018-10-17T00:00:00"/>
    <n v="8010"/>
    <n v="105"/>
    <m/>
    <n v="140"/>
    <n v="1400"/>
    <x v="3"/>
    <s v="Dellicia"/>
    <s v="Women crop top black"/>
    <x v="1"/>
    <n v="1400"/>
    <n v="0"/>
  </r>
  <r>
    <s v="1010US"/>
    <n v="65627"/>
    <d v="2018-10-21T00:00:00"/>
    <n v="8020"/>
    <n v="103"/>
    <m/>
    <n v="140"/>
    <n v="1680"/>
    <x v="3"/>
    <s v="Erma"/>
    <s v="Women type T simple white"/>
    <x v="1"/>
    <n v="1680"/>
    <n v="0"/>
  </r>
  <r>
    <s v="1010US"/>
    <n v="65627"/>
    <d v="2018-10-21T00:00:00"/>
    <n v="8020"/>
    <n v="104"/>
    <n v="3"/>
    <n v="160"/>
    <n v="1920"/>
    <x v="3"/>
    <s v="Erma"/>
    <s v="Women type T simple black"/>
    <x v="1"/>
    <n v="1920"/>
    <n v="4.9019607843137254E-4"/>
  </r>
  <r>
    <s v="1010US"/>
    <n v="65629"/>
    <d v="2018-10-21T00:00:00"/>
    <n v="8010"/>
    <n v="103"/>
    <m/>
    <n v="190"/>
    <n v="2280"/>
    <x v="3"/>
    <s v="Dellicia"/>
    <s v="Women type T simple white"/>
    <x v="1"/>
    <n v="2280"/>
    <n v="0"/>
  </r>
  <r>
    <s v="1010US"/>
    <n v="65629"/>
    <d v="2018-10-21T00:00:00"/>
    <n v="8010"/>
    <n v="104"/>
    <m/>
    <n v="130"/>
    <n v="1560"/>
    <x v="3"/>
    <s v="Dellicia"/>
    <s v="Women type T simple black"/>
    <x v="1"/>
    <n v="1560"/>
    <n v="0"/>
  </r>
  <r>
    <s v="1010US"/>
    <n v="65629"/>
    <d v="2018-10-21T00:00:00"/>
    <n v="8010"/>
    <n v="105"/>
    <m/>
    <n v="140"/>
    <n v="1400"/>
    <x v="3"/>
    <s v="Dellicia"/>
    <s v="Women crop top black"/>
    <x v="1"/>
    <n v="1400"/>
    <n v="0"/>
  </r>
  <r>
    <s v="1010US"/>
    <n v="65631"/>
    <d v="2018-10-21T00:00:00"/>
    <n v="8020"/>
    <n v="107"/>
    <m/>
    <n v="190"/>
    <n v="950"/>
    <x v="3"/>
    <s v="Erma"/>
    <s v="Women basics"/>
    <x v="1"/>
    <n v="950"/>
    <n v="0"/>
  </r>
  <r>
    <s v="1010US"/>
    <n v="65631"/>
    <d v="2018-10-21T00:00:00"/>
    <n v="8020"/>
    <n v="103"/>
    <m/>
    <n v="120"/>
    <n v="1440"/>
    <x v="3"/>
    <s v="Erma"/>
    <s v="Women type T simple white"/>
    <x v="1"/>
    <n v="144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C53C90-B210-456A-AB2C-5305382D863F}" name="Rejection and Rejection Rate on Company Level" cacheId="33"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M3:O9" firstHeaderRow="1" firstDataRow="2" firstDataCol="1" rowPageCount="1" colPageCount="1"/>
  <pivotFields count="14">
    <pivotField showAll="0"/>
    <pivotField showAll="0"/>
    <pivotField numFmtId="14" showAll="0"/>
    <pivotField showAll="0"/>
    <pivotField showAll="0"/>
    <pivotField dataField="1" showAll="0"/>
    <pivotField showAll="0"/>
    <pivotField showAll="0"/>
    <pivotField axis="axisRow" showAll="0">
      <items count="5">
        <item x="0"/>
        <item x="1"/>
        <item x="2"/>
        <item x="3"/>
        <item t="default"/>
      </items>
    </pivotField>
    <pivotField showAll="0"/>
    <pivotField showAll="0"/>
    <pivotField axis="axisPage" showAll="0">
      <items count="3">
        <item x="0"/>
        <item x="1"/>
        <item t="default"/>
      </items>
    </pivotField>
    <pivotField numFmtId="2" showAll="0"/>
    <pivotField dataField="1" numFmtId="10" showAll="0"/>
  </pivotFields>
  <rowFields count="1">
    <field x="8"/>
  </rowFields>
  <rowItems count="5">
    <i>
      <x/>
    </i>
    <i>
      <x v="1"/>
    </i>
    <i>
      <x v="2"/>
    </i>
    <i>
      <x v="3"/>
    </i>
    <i t="grand">
      <x/>
    </i>
  </rowItems>
  <colFields count="1">
    <field x="-2"/>
  </colFields>
  <colItems count="2">
    <i>
      <x/>
    </i>
    <i i="1">
      <x v="1"/>
    </i>
  </colItems>
  <pageFields count="1">
    <pageField fld="11" hier="-1"/>
  </pageFields>
  <dataFields count="2">
    <dataField name="Sum of Rejection" fld="5" baseField="0" baseItem="0" numFmtId="164"/>
    <dataField name="Sum of Rejection Rates" fld="13" baseField="0" baseItem="0" numFmtId="165"/>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B762BD-8D43-4BC1-99A7-E0A77700003B}" name="Sales and Quantity of all articles on Company Level" cacheId="29"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I3:K9" firstHeaderRow="1" firstDataRow="2" firstDataCol="1" rowPageCount="1" colPageCount="1"/>
  <pivotFields count="14">
    <pivotField showAll="0"/>
    <pivotField showAll="0"/>
    <pivotField numFmtId="14" showAll="0"/>
    <pivotField showAll="0"/>
    <pivotField showAll="0"/>
    <pivotField showAll="0"/>
    <pivotField dataField="1" showAll="0"/>
    <pivotField showAll="0"/>
    <pivotField axis="axisRow" showAll="0">
      <items count="5">
        <item x="0"/>
        <item x="1"/>
        <item x="2"/>
        <item x="3"/>
        <item t="default"/>
      </items>
    </pivotField>
    <pivotField showAll="0"/>
    <pivotField showAll="0"/>
    <pivotField axis="axisPage" showAll="0">
      <items count="3">
        <item x="0"/>
        <item x="1"/>
        <item t="default"/>
      </items>
    </pivotField>
    <pivotField dataField="1" numFmtId="2" showAll="0"/>
    <pivotField numFmtId="10" showAll="0"/>
  </pivotFields>
  <rowFields count="1">
    <field x="8"/>
  </rowFields>
  <rowItems count="5">
    <i>
      <x/>
    </i>
    <i>
      <x v="1"/>
    </i>
    <i>
      <x v="2"/>
    </i>
    <i>
      <x v="3"/>
    </i>
    <i t="grand">
      <x/>
    </i>
  </rowItems>
  <colFields count="1">
    <field x="-2"/>
  </colFields>
  <colItems count="2">
    <i>
      <x/>
    </i>
    <i i="1">
      <x v="1"/>
    </i>
  </colItems>
  <pageFields count="1">
    <pageField fld="11" hier="-1"/>
  </pageFields>
  <dataFields count="2">
    <dataField name="Sum of Quantity" fld="6" baseField="0" baseItem="0" numFmtId="164"/>
    <dataField name="Sum of Sales" fld="12" baseField="0" baseItem="0" numFmtId="16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E2331F-C443-4427-AAE2-6F2D63D1BFB2}" name="Sales and Rejection on Company Level" cacheId="25"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E3:G9" firstHeaderRow="1" firstDataRow="2" firstDataCol="1" rowPageCount="1" colPageCount="1"/>
  <pivotFields count="14">
    <pivotField showAll="0"/>
    <pivotField showAll="0"/>
    <pivotField numFmtId="14" showAll="0"/>
    <pivotField showAll="0"/>
    <pivotField showAll="0"/>
    <pivotField showAll="0"/>
    <pivotField showAll="0"/>
    <pivotField showAll="0"/>
    <pivotField axis="axisRow" showAll="0">
      <items count="5">
        <item x="0"/>
        <item x="1"/>
        <item x="2"/>
        <item x="3"/>
        <item t="default"/>
      </items>
    </pivotField>
    <pivotField showAll="0"/>
    <pivotField showAll="0"/>
    <pivotField axis="axisPage" showAll="0">
      <items count="3">
        <item x="0"/>
        <item x="1"/>
        <item t="default"/>
      </items>
    </pivotField>
    <pivotField dataField="1" numFmtId="2" showAll="0"/>
    <pivotField dataField="1" numFmtId="10" showAll="0"/>
  </pivotFields>
  <rowFields count="1">
    <field x="8"/>
  </rowFields>
  <rowItems count="5">
    <i>
      <x/>
    </i>
    <i>
      <x v="1"/>
    </i>
    <i>
      <x v="2"/>
    </i>
    <i>
      <x v="3"/>
    </i>
    <i t="grand">
      <x/>
    </i>
  </rowItems>
  <colFields count="1">
    <field x="-2"/>
  </colFields>
  <colItems count="2">
    <i>
      <x/>
    </i>
    <i i="1">
      <x v="1"/>
    </i>
  </colItems>
  <pageFields count="1">
    <pageField fld="11" hier="-1"/>
  </pageFields>
  <dataFields count="2">
    <dataField name="Sum of Rejection Rates" fld="13" baseField="0" baseItem="0" numFmtId="165"/>
    <dataField name="Sum of Sales" fld="12"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B9F0E1-8DDC-4677-A69C-F8CEC934F928}" name="Sales of Articles on Regional Level" cacheId="2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A3:C7" firstHeaderRow="1" firstDataRow="2" firstDataCol="1"/>
  <pivotFields count="14">
    <pivotField showAll="0"/>
    <pivotField showAll="0"/>
    <pivotField numFmtId="14" showAll="0"/>
    <pivotField showAll="0"/>
    <pivotField showAll="0"/>
    <pivotField showAll="0"/>
    <pivotField dataField="1" showAll="0"/>
    <pivotField showAll="0"/>
    <pivotField showAll="0"/>
    <pivotField showAll="0"/>
    <pivotField showAll="0"/>
    <pivotField axis="axisRow" showAll="0">
      <items count="3">
        <item x="0"/>
        <item x="1"/>
        <item t="default"/>
      </items>
    </pivotField>
    <pivotField dataField="1" numFmtId="2" showAll="0"/>
    <pivotField numFmtId="10" showAll="0"/>
  </pivotFields>
  <rowFields count="1">
    <field x="11"/>
  </rowFields>
  <rowItems count="3">
    <i>
      <x/>
    </i>
    <i>
      <x v="1"/>
    </i>
    <i t="grand">
      <x/>
    </i>
  </rowItems>
  <colFields count="1">
    <field x="-2"/>
  </colFields>
  <colItems count="2">
    <i>
      <x/>
    </i>
    <i i="1">
      <x v="1"/>
    </i>
  </colItems>
  <dataFields count="2">
    <dataField name="Sum of Quantity" fld="6" baseField="0" baseItem="0" numFmtId="164"/>
    <dataField name="Sum of Sales" fld="12" baseField="0" baseItem="0" numFmtId="16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7">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16"/>
    <tableColumn id="2" xr3:uid="{00000000-0010-0000-0300-000002000000}" name="Descriptio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N141" totalsRowShown="0" headerRowDxfId="15" dataDxfId="14">
  <tableColumns count="14">
    <tableColumn id="1" xr3:uid="{00000000-0010-0000-0000-000001000000}" name="Company" dataDxfId="1"/>
    <tableColumn id="2" xr3:uid="{00000000-0010-0000-0000-000002000000}" name="Sales Document" dataDxfId="13"/>
    <tableColumn id="3" xr3:uid="{00000000-0010-0000-0000-000003000000}" name="Document Date" dataDxfId="0"/>
    <tableColumn id="4" xr3:uid="{00000000-0010-0000-0000-000004000000}" name="Customer Code" dataDxfId="12"/>
    <tableColumn id="5" xr3:uid="{00000000-0010-0000-0000-000005000000}" name="Article code" dataDxfId="11"/>
    <tableColumn id="6" xr3:uid="{00000000-0010-0000-0000-000006000000}" name="Reject" dataDxfId="10"/>
    <tableColumn id="7" xr3:uid="{00000000-0010-0000-0000-000007000000}" name="Quantity" dataDxfId="9"/>
    <tableColumn id="8" xr3:uid="{00000000-0010-0000-0000-000008000000}" name="Sales Local Currency" dataDxfId="8"/>
    <tableColumn id="9" xr3:uid="{00000000-0010-0000-0000-000009000000}" name="Company Name" dataDxfId="7">
      <calculatedColumnFormula>VLOOKUP(A2,MCompany[],2,FALSE)</calculatedColumnFormula>
    </tableColumn>
    <tableColumn id="10" xr3:uid="{00000000-0010-0000-0000-00000A000000}" name="Customer Name" dataDxfId="6">
      <calculatedColumnFormula>VLOOKUP(TableTemp[[#This Row],[Customer Code]],MCustomer[],2,FALSE)</calculatedColumnFormula>
    </tableColumn>
    <tableColumn id="11" xr3:uid="{00000000-0010-0000-0000-00000B000000}" name="Article Description" dataDxfId="5">
      <calculatedColumnFormula>VLOOKUP(TableTemp[[#This Row],[Article code]],MArticle[],2,FALSE)</calculatedColumnFormula>
    </tableColumn>
    <tableColumn id="13" xr3:uid="{00000000-0010-0000-0000-00000D000000}" name="Currency" dataDxfId="4">
      <calculatedColumnFormula>VLOOKUP(TableTemp[[#This Row],[Company]],MCompany[],3,FALSE)</calculatedColumnFormula>
    </tableColumn>
    <tableColumn id="12" xr3:uid="{00000000-0010-0000-0000-00000C000000}" name="Sales US Dollar" dataDxfId="3">
      <calculatedColumnFormula>IF(TableTemp[[#This Row],[Currency]]="EUR",ROUND(VLOOKUP(MONTH(TableTemp[[#This Row],[Document Date]]),MExchange[],2,FALSE)*TableTemp[[#This Row],[Sales Local Currency]],2),ROUND(TableTemp[[#This Row],[Sales Local Currency]],2))</calculatedColumnFormula>
    </tableColumn>
    <tableColumn id="14" xr3:uid="{3D83A9AE-A798-428A-BAA7-1E79E60D98D5}" name="Reject Rates" dataDxfId="2">
      <calculatedColumnFormula>IF(TableTemp[[#This Row],[Reject]]="",0,TableTemp[[#This Row],[Reject]]/SUMIF(TableTemp[Company],Map!$B$9,TableTemp[Quantity]))</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3D62C-2F5E-4BB6-BDC6-C2197989FDE6}">
  <sheetPr codeName="sh0"/>
  <dimension ref="I10:O29"/>
  <sheetViews>
    <sheetView topLeftCell="G7" workbookViewId="0">
      <selection activeCell="K24" sqref="K24"/>
    </sheetView>
  </sheetViews>
  <sheetFormatPr defaultColWidth="9.109375" defaultRowHeight="13.8" x14ac:dyDescent="0.25"/>
  <cols>
    <col min="1" max="10" width="9.109375" style="17"/>
    <col min="11" max="11" width="149" style="17" customWidth="1"/>
    <col min="12" max="12" width="9.109375" style="17"/>
    <col min="13" max="13" width="8.44140625" style="17" customWidth="1"/>
    <col min="14" max="16384" width="9.109375" style="17"/>
  </cols>
  <sheetData>
    <row r="10" spans="9:11" ht="24.6" x14ac:dyDescent="0.4">
      <c r="I10" s="16" t="s">
        <v>74</v>
      </c>
    </row>
    <row r="11" spans="9:11" ht="17.399999999999999" x14ac:dyDescent="0.3">
      <c r="I11" s="18" t="s">
        <v>75</v>
      </c>
    </row>
    <row r="12" spans="9:11" ht="17.399999999999999" x14ac:dyDescent="0.3">
      <c r="I12" s="18" t="s">
        <v>68</v>
      </c>
    </row>
    <row r="13" spans="9:11" ht="17.399999999999999" x14ac:dyDescent="0.3">
      <c r="I13" s="18"/>
    </row>
    <row r="14" spans="9:11" x14ac:dyDescent="0.25">
      <c r="J14" s="19" t="s">
        <v>69</v>
      </c>
      <c r="K14" s="19" t="s">
        <v>70</v>
      </c>
    </row>
    <row r="15" spans="9:11" x14ac:dyDescent="0.25">
      <c r="J15" s="20">
        <v>1</v>
      </c>
      <c r="K15" s="24" t="s">
        <v>71</v>
      </c>
    </row>
    <row r="16" spans="9:11" x14ac:dyDescent="0.25">
      <c r="J16" s="20">
        <v>2</v>
      </c>
      <c r="K16" s="29" t="s">
        <v>82</v>
      </c>
    </row>
    <row r="17" spans="10:15" x14ac:dyDescent="0.25">
      <c r="J17" s="20">
        <v>3</v>
      </c>
      <c r="K17" s="26" t="s">
        <v>76</v>
      </c>
    </row>
    <row r="18" spans="10:15" x14ac:dyDescent="0.25">
      <c r="J18" s="20">
        <v>4</v>
      </c>
      <c r="K18" s="25" t="s">
        <v>73</v>
      </c>
    </row>
    <row r="19" spans="10:15" x14ac:dyDescent="0.25">
      <c r="J19" s="20">
        <v>5</v>
      </c>
      <c r="K19" s="24" t="s">
        <v>72</v>
      </c>
    </row>
    <row r="20" spans="10:15" x14ac:dyDescent="0.25">
      <c r="J20" s="20">
        <v>6</v>
      </c>
      <c r="K20" s="28" t="s">
        <v>79</v>
      </c>
    </row>
    <row r="21" spans="10:15" x14ac:dyDescent="0.25">
      <c r="J21" s="20">
        <v>7</v>
      </c>
      <c r="K21" s="29" t="s">
        <v>81</v>
      </c>
    </row>
    <row r="22" spans="10:15" ht="82.8" x14ac:dyDescent="0.25">
      <c r="J22" s="20">
        <v>8</v>
      </c>
      <c r="K22" s="29" t="s">
        <v>83</v>
      </c>
    </row>
    <row r="23" spans="10:15" x14ac:dyDescent="0.25">
      <c r="J23" s="20">
        <v>9</v>
      </c>
      <c r="K23" s="29" t="s">
        <v>80</v>
      </c>
    </row>
    <row r="24" spans="10:15" ht="41.4" x14ac:dyDescent="0.25">
      <c r="J24" s="20">
        <v>10</v>
      </c>
      <c r="K24" s="56" t="s">
        <v>77</v>
      </c>
    </row>
    <row r="25" spans="10:15" x14ac:dyDescent="0.25">
      <c r="J25" s="20">
        <v>11</v>
      </c>
      <c r="K25" s="27" t="s">
        <v>78</v>
      </c>
    </row>
    <row r="28" spans="10:15" x14ac:dyDescent="0.25">
      <c r="L28" s="55"/>
      <c r="M28" s="55"/>
      <c r="N28" s="55"/>
      <c r="O28" s="55"/>
    </row>
    <row r="29" spans="10:15" x14ac:dyDescent="0.25">
      <c r="L29" s="55"/>
      <c r="M29" s="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7731-B75B-483E-AE0A-6E20949DB641}">
  <sheetPr codeName="shStart"/>
  <dimension ref="J28:Y3334"/>
  <sheetViews>
    <sheetView topLeftCell="I7" workbookViewId="0">
      <selection activeCell="N36" sqref="N36:N37"/>
    </sheetView>
  </sheetViews>
  <sheetFormatPr defaultColWidth="9.109375" defaultRowHeight="13.2" x14ac:dyDescent="0.25"/>
  <cols>
    <col min="1" max="16384" width="9.109375" style="21"/>
  </cols>
  <sheetData>
    <row r="28" spans="10:25" x14ac:dyDescent="0.25">
      <c r="J28"/>
      <c r="T28" s="21" t="s">
        <v>105</v>
      </c>
    </row>
    <row r="32" spans="10:25" x14ac:dyDescent="0.25">
      <c r="J32" s="48" t="s">
        <v>62</v>
      </c>
      <c r="K32" s="23"/>
      <c r="L32" s="22"/>
      <c r="M32" s="22"/>
      <c r="N32" s="22"/>
      <c r="O32" s="22"/>
      <c r="P32" s="22"/>
      <c r="Q32" s="22"/>
      <c r="R32" s="22"/>
      <c r="S32" s="22"/>
      <c r="T32" s="22"/>
      <c r="U32" s="22"/>
      <c r="V32" s="22"/>
      <c r="W32" s="22"/>
      <c r="X32" s="22"/>
      <c r="Y32" s="22"/>
    </row>
    <row r="33" spans="10:10" x14ac:dyDescent="0.25">
      <c r="J33" s="21" t="s">
        <v>99</v>
      </c>
    </row>
    <row r="34" spans="10:10" x14ac:dyDescent="0.25">
      <c r="J34" s="21" t="s">
        <v>106</v>
      </c>
    </row>
    <row r="35" spans="10:10" x14ac:dyDescent="0.25">
      <c r="J35" s="21" t="s">
        <v>107</v>
      </c>
    </row>
    <row r="3334" spans="10:10" x14ac:dyDescent="0.25">
      <c r="J3334"/>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4" r:id="rId4" name="CommandButton2">
          <controlPr defaultSize="0" autoLine="0" autoPict="0" r:id="rId5">
            <anchor moveWithCells="1">
              <from>
                <xdr:col>21</xdr:col>
                <xdr:colOff>83820</xdr:colOff>
                <xdr:row>20</xdr:row>
                <xdr:rowOff>60960</xdr:rowOff>
              </from>
              <to>
                <xdr:col>24</xdr:col>
                <xdr:colOff>434340</xdr:colOff>
                <xdr:row>22</xdr:row>
                <xdr:rowOff>152400</xdr:rowOff>
              </to>
            </anchor>
          </controlPr>
        </control>
      </mc:Choice>
      <mc:Fallback>
        <control shapeId="10254" r:id="rId4" name="CommandButton2"/>
      </mc:Fallback>
    </mc:AlternateContent>
    <mc:AlternateContent xmlns:mc="http://schemas.openxmlformats.org/markup-compatibility/2006">
      <mc:Choice Requires="x14">
        <control shapeId="10253" r:id="rId6" name="CommandButton1">
          <controlPr defaultSize="0" autoLine="0" autoPict="0" r:id="rId7">
            <anchor moveWithCells="1">
              <from>
                <xdr:col>12</xdr:col>
                <xdr:colOff>495300</xdr:colOff>
                <xdr:row>20</xdr:row>
                <xdr:rowOff>91440</xdr:rowOff>
              </from>
              <to>
                <xdr:col>16</xdr:col>
                <xdr:colOff>91440</xdr:colOff>
                <xdr:row>22</xdr:row>
                <xdr:rowOff>144780</xdr:rowOff>
              </to>
            </anchor>
          </controlPr>
        </control>
      </mc:Choice>
      <mc:Fallback>
        <control shapeId="10253" r:id="rId6" name="CommandButton1"/>
      </mc:Fallback>
    </mc:AlternateContent>
    <mc:AlternateContent xmlns:mc="http://schemas.openxmlformats.org/markup-compatibility/2006">
      <mc:Choice Requires="x14">
        <control shapeId="10246" r:id="rId8" name="Button 6">
          <controlPr defaultSize="0" autoFill="0" autoPict="0" macro="[0]!ImportData.ImportData">
            <anchor moveWithCells="1">
              <from>
                <xdr:col>8</xdr:col>
                <xdr:colOff>373380</xdr:colOff>
                <xdr:row>20</xdr:row>
                <xdr:rowOff>60960</xdr:rowOff>
              </from>
              <to>
                <xdr:col>11</xdr:col>
                <xdr:colOff>594360</xdr:colOff>
                <xdr:row>22</xdr:row>
                <xdr:rowOff>137160</xdr:rowOff>
              </to>
            </anchor>
          </controlPr>
        </control>
      </mc:Choice>
    </mc:AlternateContent>
    <mc:AlternateContent xmlns:mc="http://schemas.openxmlformats.org/markup-compatibility/2006">
      <mc:Choice Requires="x14">
        <control shapeId="10247" r:id="rId9" name="Button 7">
          <controlPr defaultSize="0" autoFill="0" autoPict="0" macro="[0]!saveas_CSV">
            <anchor moveWithCells="1">
              <from>
                <xdr:col>17</xdr:col>
                <xdr:colOff>152400</xdr:colOff>
                <xdr:row>20</xdr:row>
                <xdr:rowOff>99060</xdr:rowOff>
              </from>
              <to>
                <xdr:col>20</xdr:col>
                <xdr:colOff>76200</xdr:colOff>
                <xdr:row>23</xdr:row>
                <xdr:rowOff>7620</xdr:rowOff>
              </to>
            </anchor>
          </controlPr>
        </control>
      </mc:Choice>
    </mc:AlternateContent>
    <mc:AlternateContent xmlns:mc="http://schemas.openxmlformats.org/markup-compatibility/2006">
      <mc:Choice Requires="x14">
        <control shapeId="10252" r:id="rId10" name="Button 12">
          <controlPr defaultSize="0" autoFill="0" autoPict="0" macro="[0]!clearmsg">
            <anchor moveWithCells="1">
              <from>
                <xdr:col>23</xdr:col>
                <xdr:colOff>7620</xdr:colOff>
                <xdr:row>30</xdr:row>
                <xdr:rowOff>45720</xdr:rowOff>
              </from>
              <to>
                <xdr:col>24</xdr:col>
                <xdr:colOff>579120</xdr:colOff>
                <xdr:row>31</xdr:row>
                <xdr:rowOff>121920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BE4B3-2EBE-4491-A3C5-931971836F8C}">
  <dimension ref="A1:O9"/>
  <sheetViews>
    <sheetView tabSelected="1" zoomScale="85" zoomScaleNormal="85" workbookViewId="0">
      <selection activeCell="N26" sqref="N26"/>
    </sheetView>
  </sheetViews>
  <sheetFormatPr defaultRowHeight="13.2" x14ac:dyDescent="0.25"/>
  <cols>
    <col min="1" max="1" width="13.33203125" bestFit="1" customWidth="1"/>
    <col min="2" max="2" width="15.21875" bestFit="1" customWidth="1"/>
    <col min="3" max="3" width="12.33203125" bestFit="1" customWidth="1"/>
    <col min="4" max="4" width="3.77734375" customWidth="1"/>
    <col min="5" max="5" width="13.33203125" bestFit="1" customWidth="1"/>
    <col min="6" max="6" width="21.6640625" bestFit="1" customWidth="1"/>
    <col min="7" max="7" width="12.33203125" bestFit="1" customWidth="1"/>
    <col min="8" max="8" width="3.77734375" customWidth="1"/>
    <col min="9" max="9" width="13.33203125" bestFit="1" customWidth="1"/>
    <col min="10" max="10" width="15.21875" bestFit="1" customWidth="1"/>
    <col min="11" max="11" width="12.33203125" bestFit="1" customWidth="1"/>
    <col min="12" max="12" width="3.77734375" customWidth="1"/>
    <col min="13" max="13" width="13.33203125" bestFit="1" customWidth="1"/>
    <col min="14" max="14" width="15.88671875" bestFit="1" customWidth="1"/>
    <col min="15" max="15" width="21.6640625" bestFit="1" customWidth="1"/>
  </cols>
  <sheetData>
    <row r="1" spans="1:15" x14ac:dyDescent="0.25">
      <c r="E1" s="49" t="s">
        <v>4</v>
      </c>
      <c r="F1" t="s">
        <v>100</v>
      </c>
      <c r="I1" s="49" t="s">
        <v>4</v>
      </c>
      <c r="J1" t="s">
        <v>100</v>
      </c>
      <c r="M1" s="49" t="s">
        <v>4</v>
      </c>
      <c r="N1" t="s">
        <v>100</v>
      </c>
    </row>
    <row r="3" spans="1:15" x14ac:dyDescent="0.25">
      <c r="B3" s="49" t="s">
        <v>101</v>
      </c>
      <c r="F3" s="49" t="s">
        <v>101</v>
      </c>
      <c r="J3" s="49" t="s">
        <v>101</v>
      </c>
      <c r="N3" s="49" t="s">
        <v>101</v>
      </c>
    </row>
    <row r="4" spans="1:15" x14ac:dyDescent="0.25">
      <c r="A4" s="49" t="s">
        <v>96</v>
      </c>
      <c r="B4" t="s">
        <v>98</v>
      </c>
      <c r="C4" t="s">
        <v>108</v>
      </c>
      <c r="E4" s="49" t="s">
        <v>96</v>
      </c>
      <c r="F4" t="s">
        <v>104</v>
      </c>
      <c r="G4" t="s">
        <v>108</v>
      </c>
      <c r="I4" s="49" t="s">
        <v>96</v>
      </c>
      <c r="J4" t="s">
        <v>98</v>
      </c>
      <c r="K4" t="s">
        <v>108</v>
      </c>
      <c r="M4" s="49" t="s">
        <v>96</v>
      </c>
      <c r="N4" t="s">
        <v>102</v>
      </c>
      <c r="O4" t="s">
        <v>104</v>
      </c>
    </row>
    <row r="5" spans="1:15" x14ac:dyDescent="0.25">
      <c r="A5" s="50" t="s">
        <v>39</v>
      </c>
      <c r="B5" s="53">
        <v>19350</v>
      </c>
      <c r="C5" s="53">
        <v>648742.61000000057</v>
      </c>
      <c r="E5" s="50" t="s">
        <v>35</v>
      </c>
      <c r="F5" s="54">
        <v>1.6339869281045752E-3</v>
      </c>
      <c r="G5" s="53">
        <v>544079.02</v>
      </c>
      <c r="I5" s="50" t="s">
        <v>35</v>
      </c>
      <c r="J5" s="53">
        <v>16740</v>
      </c>
      <c r="K5" s="53">
        <v>544079.02</v>
      </c>
      <c r="M5" s="50" t="s">
        <v>35</v>
      </c>
      <c r="N5" s="53">
        <v>10</v>
      </c>
      <c r="O5" s="54">
        <v>1.6339869281045752E-3</v>
      </c>
    </row>
    <row r="6" spans="1:15" x14ac:dyDescent="0.25">
      <c r="A6" s="50" t="s">
        <v>1</v>
      </c>
      <c r="B6" s="53">
        <v>7380</v>
      </c>
      <c r="C6" s="53">
        <v>85740</v>
      </c>
      <c r="E6" s="50" t="s">
        <v>34</v>
      </c>
      <c r="F6" s="54">
        <v>9.8039215686274508E-4</v>
      </c>
      <c r="G6" s="53">
        <v>104663.59</v>
      </c>
      <c r="I6" s="50" t="s">
        <v>34</v>
      </c>
      <c r="J6" s="53">
        <v>2610</v>
      </c>
      <c r="K6" s="53">
        <v>104663.59</v>
      </c>
      <c r="M6" s="50" t="s">
        <v>34</v>
      </c>
      <c r="N6" s="53">
        <v>6</v>
      </c>
      <c r="O6" s="54">
        <v>9.8039215686274508E-4</v>
      </c>
    </row>
    <row r="7" spans="1:15" x14ac:dyDescent="0.25">
      <c r="A7" s="50" t="s">
        <v>97</v>
      </c>
      <c r="B7" s="53">
        <v>26730</v>
      </c>
      <c r="C7" s="53">
        <v>734482.61000000057</v>
      </c>
      <c r="E7" s="50" t="s">
        <v>51</v>
      </c>
      <c r="F7" s="54">
        <v>1.4705882352941176E-3</v>
      </c>
      <c r="G7" s="53">
        <v>19640</v>
      </c>
      <c r="I7" s="50" t="s">
        <v>51</v>
      </c>
      <c r="J7" s="53">
        <v>1260</v>
      </c>
      <c r="K7" s="53">
        <v>19640</v>
      </c>
      <c r="M7" s="50" t="s">
        <v>51</v>
      </c>
      <c r="N7" s="53">
        <v>9</v>
      </c>
      <c r="O7" s="54">
        <v>1.4705882352941176E-3</v>
      </c>
    </row>
    <row r="8" spans="1:15" x14ac:dyDescent="0.25">
      <c r="E8" s="50" t="s">
        <v>33</v>
      </c>
      <c r="F8" s="54">
        <v>1.9607843137254902E-3</v>
      </c>
      <c r="G8" s="53">
        <v>66100</v>
      </c>
      <c r="I8" s="50" t="s">
        <v>33</v>
      </c>
      <c r="J8" s="53">
        <v>6120</v>
      </c>
      <c r="K8" s="53">
        <v>66100</v>
      </c>
      <c r="M8" s="50" t="s">
        <v>33</v>
      </c>
      <c r="N8" s="53">
        <v>12</v>
      </c>
      <c r="O8" s="54">
        <v>1.9607843137254902E-3</v>
      </c>
    </row>
    <row r="9" spans="1:15" x14ac:dyDescent="0.25">
      <c r="E9" s="50" t="s">
        <v>97</v>
      </c>
      <c r="F9" s="54">
        <v>6.0457516339869283E-3</v>
      </c>
      <c r="G9" s="53">
        <v>734482.61</v>
      </c>
      <c r="I9" s="50" t="s">
        <v>97</v>
      </c>
      <c r="J9" s="53">
        <v>26730</v>
      </c>
      <c r="K9" s="53">
        <v>734482.61</v>
      </c>
      <c r="M9" s="50" t="s">
        <v>97</v>
      </c>
      <c r="N9" s="53">
        <v>37</v>
      </c>
      <c r="O9" s="54">
        <v>6.0457516339869283E-3</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topLeftCell="A4" workbookViewId="0">
      <selection activeCell="D10" sqref="D10:D11"/>
    </sheetView>
  </sheetViews>
  <sheetFormatPr defaultRowHeight="13.2" x14ac:dyDescent="0.25"/>
  <cols>
    <col min="1" max="1" width="8.6640625" customWidth="1"/>
    <col min="2" max="2" width="21.6640625" customWidth="1"/>
    <col min="3" max="3" width="19.33203125" customWidth="1"/>
    <col min="4" max="4" width="15.109375" customWidth="1"/>
    <col min="6" max="6" width="29.88671875" customWidth="1"/>
    <col min="7" max="7" width="13.664062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7" spans="1:10" x14ac:dyDescent="0.25">
      <c r="A7" s="13"/>
      <c r="B7" s="13"/>
      <c r="C7" s="13"/>
      <c r="D7" s="13"/>
      <c r="E7" s="13"/>
      <c r="F7" s="13"/>
      <c r="G7" s="13"/>
      <c r="H7" s="13"/>
      <c r="I7" s="13"/>
      <c r="J7" s="13"/>
    </row>
    <row r="8" spans="1:10" ht="26.25" customHeight="1" x14ac:dyDescent="0.25">
      <c r="B8" s="5" t="s">
        <v>56</v>
      </c>
      <c r="C8" s="6" t="s">
        <v>36</v>
      </c>
      <c r="D8" s="6" t="s">
        <v>4</v>
      </c>
      <c r="E8" s="6" t="s">
        <v>59</v>
      </c>
      <c r="G8" s="6" t="s">
        <v>63</v>
      </c>
    </row>
    <row r="9" spans="1:10" x14ac:dyDescent="0.25">
      <c r="B9" t="s">
        <v>29</v>
      </c>
      <c r="C9" t="s">
        <v>33</v>
      </c>
      <c r="D9" t="s">
        <v>1</v>
      </c>
      <c r="E9" t="s">
        <v>60</v>
      </c>
      <c r="G9" t="s">
        <v>60</v>
      </c>
    </row>
    <row r="10" spans="1:10" x14ac:dyDescent="0.25">
      <c r="B10" t="s">
        <v>30</v>
      </c>
      <c r="C10" t="s">
        <v>51</v>
      </c>
      <c r="D10" t="s">
        <v>1</v>
      </c>
      <c r="E10" t="s">
        <v>60</v>
      </c>
      <c r="G10" t="s">
        <v>61</v>
      </c>
    </row>
    <row r="11" spans="1:10" x14ac:dyDescent="0.25">
      <c r="B11" s="14" t="s">
        <v>31</v>
      </c>
      <c r="C11" s="14" t="s">
        <v>35</v>
      </c>
      <c r="D11" s="14" t="s">
        <v>39</v>
      </c>
      <c r="E11" t="s">
        <v>61</v>
      </c>
    </row>
    <row r="12" spans="1:10" x14ac:dyDescent="0.25">
      <c r="B12" s="14" t="s">
        <v>32</v>
      </c>
      <c r="C12" s="14" t="s">
        <v>34</v>
      </c>
      <c r="D12" s="14" t="s">
        <v>39</v>
      </c>
      <c r="E12" t="s">
        <v>61</v>
      </c>
    </row>
    <row r="13" spans="1:10" x14ac:dyDescent="0.25">
      <c r="B13" s="14"/>
      <c r="C13" s="14"/>
      <c r="D13" s="14"/>
    </row>
    <row r="14" spans="1:10" x14ac:dyDescent="0.25">
      <c r="A14" s="4" t="s">
        <v>37</v>
      </c>
      <c r="B14" s="4"/>
      <c r="C14" s="4"/>
      <c r="D14" s="4"/>
      <c r="E14" s="4"/>
      <c r="F14" s="4"/>
      <c r="G14" s="4"/>
      <c r="H14" s="4"/>
      <c r="I14" s="4"/>
      <c r="J14" s="4"/>
    </row>
    <row r="15" spans="1:10" x14ac:dyDescent="0.25">
      <c r="A15" s="13"/>
      <c r="B15" s="13"/>
      <c r="C15" s="13"/>
      <c r="D15" s="13"/>
      <c r="E15" s="13"/>
      <c r="F15" s="13"/>
      <c r="G15" s="13"/>
      <c r="H15" s="13"/>
      <c r="I15" s="13"/>
      <c r="J15" s="13"/>
    </row>
    <row r="16" spans="1:10" ht="13.8" x14ac:dyDescent="0.25">
      <c r="B16" s="5" t="s">
        <v>55</v>
      </c>
      <c r="C16" s="6" t="s">
        <v>46</v>
      </c>
    </row>
    <row r="17" spans="1:10" x14ac:dyDescent="0.25">
      <c r="B17">
        <v>8010</v>
      </c>
      <c r="C17" t="s">
        <v>50</v>
      </c>
    </row>
    <row r="18" spans="1:10" x14ac:dyDescent="0.25">
      <c r="B18">
        <v>8020</v>
      </c>
      <c r="C18" t="s">
        <v>52</v>
      </c>
    </row>
    <row r="19" spans="1:10" x14ac:dyDescent="0.25">
      <c r="B19">
        <v>8030</v>
      </c>
      <c r="C19" t="s">
        <v>53</v>
      </c>
    </row>
    <row r="20" spans="1:10" x14ac:dyDescent="0.25">
      <c r="B20">
        <v>8040</v>
      </c>
      <c r="C20" t="s">
        <v>64</v>
      </c>
    </row>
    <row r="21" spans="1:10" x14ac:dyDescent="0.25">
      <c r="B21">
        <v>8050</v>
      </c>
      <c r="C21" t="s">
        <v>65</v>
      </c>
    </row>
    <row r="22" spans="1:10" x14ac:dyDescent="0.25">
      <c r="B22">
        <v>8060</v>
      </c>
      <c r="C22" t="s">
        <v>66</v>
      </c>
    </row>
    <row r="24" spans="1:10" x14ac:dyDescent="0.25">
      <c r="A24" s="4" t="s">
        <v>27</v>
      </c>
      <c r="B24" s="4"/>
      <c r="C24" s="4"/>
      <c r="D24" s="4"/>
      <c r="E24" s="4"/>
      <c r="F24" s="4"/>
      <c r="G24" s="4"/>
      <c r="H24" s="4"/>
      <c r="I24" s="4"/>
      <c r="J24" s="4"/>
    </row>
    <row r="25" spans="1:10" x14ac:dyDescent="0.25">
      <c r="A25" s="13"/>
      <c r="B25" s="13"/>
      <c r="C25" s="13"/>
      <c r="D25" s="13"/>
      <c r="E25" s="13"/>
      <c r="F25" s="13"/>
      <c r="G25" s="13"/>
      <c r="H25" s="13"/>
      <c r="I25" s="13"/>
      <c r="J25" s="13"/>
    </row>
    <row r="26" spans="1:10" ht="13.8" x14ac:dyDescent="0.25">
      <c r="B26" s="5" t="s">
        <v>58</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67</v>
      </c>
      <c r="B50" s="4"/>
      <c r="C50" s="4"/>
      <c r="D50" s="4"/>
      <c r="E50" s="4"/>
      <c r="F50" s="4"/>
      <c r="G50" s="4"/>
      <c r="H50" s="4"/>
      <c r="I50" s="4"/>
      <c r="J50" s="4"/>
    </row>
    <row r="51" spans="1:10" x14ac:dyDescent="0.25">
      <c r="A51" s="13"/>
      <c r="B51" s="13"/>
      <c r="C51" s="13"/>
      <c r="D51" s="13"/>
      <c r="E51" s="13"/>
      <c r="F51" s="13"/>
      <c r="G51" s="13"/>
      <c r="H51" s="13"/>
      <c r="I51" s="13"/>
      <c r="J51" s="13"/>
    </row>
    <row r="52" spans="1:10" ht="13.8" x14ac:dyDescent="0.25">
      <c r="B52" s="5" t="s">
        <v>38</v>
      </c>
      <c r="C52" s="6" t="s">
        <v>57</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2" tint="-0.499984740745262"/>
  </sheetPr>
  <dimension ref="A1:N142"/>
  <sheetViews>
    <sheetView showGridLines="0" zoomScaleNormal="100" workbookViewId="0">
      <selection activeCell="K11" sqref="K11"/>
    </sheetView>
  </sheetViews>
  <sheetFormatPr defaultRowHeight="13.2" x14ac:dyDescent="0.25"/>
  <cols>
    <col min="1" max="1" width="9.21875" bestFit="1" customWidth="1"/>
    <col min="2" max="2" width="9.88671875" bestFit="1" customWidth="1"/>
    <col min="3" max="3" width="10.33203125" bestFit="1" customWidth="1"/>
    <col min="4" max="4" width="9.5546875" bestFit="1" customWidth="1"/>
    <col min="5" max="5" width="11.33203125" bestFit="1" customWidth="1"/>
    <col min="6" max="6" width="7" bestFit="1" customWidth="1"/>
    <col min="7" max="7" width="8.44140625" bestFit="1" customWidth="1"/>
    <col min="8" max="8" width="10.88671875" bestFit="1" customWidth="1"/>
    <col min="9" max="9" width="13.33203125" bestFit="1" customWidth="1"/>
    <col min="10" max="10" width="14" bestFit="1" customWidth="1"/>
    <col min="11" max="11" width="29.88671875" bestFit="1" customWidth="1"/>
    <col min="12" max="12" width="9.109375" bestFit="1" customWidth="1"/>
    <col min="13" max="13" width="8.77734375" bestFit="1" customWidth="1"/>
    <col min="18" max="18" width="3.33203125" customWidth="1"/>
    <col min="19" max="19" width="19.3320312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33203125" customWidth="1"/>
    <col min="28" max="28" width="5.33203125" customWidth="1"/>
    <col min="29" max="29" width="29.44140625" bestFit="1" customWidth="1"/>
    <col min="30" max="35" width="9.88671875" customWidth="1"/>
    <col min="36" max="36" width="2.5546875" customWidth="1"/>
    <col min="37" max="37" width="37.44140625" customWidth="1"/>
    <col min="38" max="38" width="22.5546875" bestFit="1" customWidth="1"/>
    <col min="39" max="39" width="15.6640625" customWidth="1"/>
  </cols>
  <sheetData>
    <row r="1" spans="1:14" ht="27.75" customHeight="1" x14ac:dyDescent="0.25">
      <c r="A1" s="11" t="s">
        <v>45</v>
      </c>
      <c r="B1" s="11" t="s">
        <v>3</v>
      </c>
      <c r="C1" s="11" t="s">
        <v>41</v>
      </c>
      <c r="D1" s="11" t="s">
        <v>54</v>
      </c>
      <c r="E1" s="11" t="s">
        <v>58</v>
      </c>
      <c r="F1" s="11" t="s">
        <v>44</v>
      </c>
      <c r="G1" s="11" t="s">
        <v>42</v>
      </c>
      <c r="H1" s="11" t="s">
        <v>48</v>
      </c>
      <c r="I1" s="12" t="s">
        <v>36</v>
      </c>
      <c r="J1" s="12" t="s">
        <v>46</v>
      </c>
      <c r="K1" s="12" t="s">
        <v>47</v>
      </c>
      <c r="L1" s="12" t="s">
        <v>4</v>
      </c>
      <c r="M1" s="12" t="s">
        <v>49</v>
      </c>
      <c r="N1" s="11" t="s">
        <v>103</v>
      </c>
    </row>
    <row r="2" spans="1:14" x14ac:dyDescent="0.25">
      <c r="A2" s="7" t="s">
        <v>31</v>
      </c>
      <c r="B2">
        <v>84030</v>
      </c>
      <c r="C2" s="8">
        <v>43380</v>
      </c>
      <c r="D2">
        <v>8050</v>
      </c>
      <c r="E2">
        <v>120</v>
      </c>
      <c r="F2" t="s">
        <v>2</v>
      </c>
      <c r="G2">
        <v>120</v>
      </c>
      <c r="H2">
        <v>6960</v>
      </c>
      <c r="I2" s="7" t="str">
        <f>VLOOKUP(A2,MCompany[],2,FALSE)</f>
        <v>Bere Kleid</v>
      </c>
      <c r="J2" s="10" t="str">
        <f>VLOOKUP(TableTemp[[#This Row],[Customer Code]],MCustomer[],2,FALSE)</f>
        <v>Aida GmbH</v>
      </c>
      <c r="K2" s="10" t="str">
        <f>VLOOKUP(TableTemp[[#This Row],[Article code]],MArticle[],2,FALSE)</f>
        <v>Women evening dress Cocktail red</v>
      </c>
      <c r="L2" s="10" t="str">
        <f>VLOOKUP(TableTemp[[#This Row],[Company]],MCompany[],3,FALSE)</f>
        <v>EUR</v>
      </c>
      <c r="M2" s="15">
        <f>IF(TableTemp[[#This Row],[Currency]]="EUR",ROUND(VLOOKUP(MONTH(TableTemp[[#This Row],[Document Date]]),MExchange[],2,FALSE)*TableTemp[[#This Row],[Sales Local Currency]],2),ROUND(TableTemp[[#This Row],[Sales Local Currency]],2))</f>
        <v>8177.58</v>
      </c>
      <c r="N2" s="51">
        <f>IF(TableTemp[[#This Row],[Reject]]="",0,TableTemp[[#This Row],[Reject]]/SUMIF(TableTemp[Company],Map!$B$9,TableTemp[Quantity]))</f>
        <v>0</v>
      </c>
    </row>
    <row r="3" spans="1:14" x14ac:dyDescent="0.25">
      <c r="A3" s="7" t="s">
        <v>31</v>
      </c>
      <c r="B3">
        <v>84030</v>
      </c>
      <c r="C3" s="8">
        <v>43380</v>
      </c>
      <c r="D3">
        <v>8050</v>
      </c>
      <c r="E3">
        <v>104</v>
      </c>
      <c r="F3">
        <v>1</v>
      </c>
      <c r="G3">
        <v>430</v>
      </c>
      <c r="H3">
        <v>5160</v>
      </c>
      <c r="I3" s="10" t="str">
        <f>VLOOKUP(A3,MCompany[],2,FALSE)</f>
        <v>Bere Kleid</v>
      </c>
      <c r="J3" s="10" t="str">
        <f>VLOOKUP(TableTemp[[#This Row],[Customer Code]],MCustomer[],2,FALSE)</f>
        <v>Aida GmbH</v>
      </c>
      <c r="K3" s="10" t="str">
        <f>VLOOKUP(TableTemp[[#This Row],[Article code]],MArticle[],2,FALSE)</f>
        <v>Women type T simple black</v>
      </c>
      <c r="L3" s="10" t="str">
        <f>VLOOKUP(TableTemp[[#This Row],[Company]],MCompany[],3,FALSE)</f>
        <v>EUR</v>
      </c>
      <c r="M3" s="15">
        <f>IF(TableTemp[[#This Row],[Currency]]="EUR",ROUND(VLOOKUP(MONTH(TableTemp[[#This Row],[Document Date]]),MExchange[],2,FALSE)*TableTemp[[#This Row],[Sales Local Currency]],2),ROUND(TableTemp[[#This Row],[Sales Local Currency]],2))</f>
        <v>6062.69</v>
      </c>
      <c r="N3" s="51">
        <f>IF(TableTemp[[#This Row],[Reject]]="",0,TableTemp[[#This Row],[Reject]]/SUMIF(TableTemp[Company],Map!$B$9,TableTemp[Quantity]))</f>
        <v>1.6339869281045751E-4</v>
      </c>
    </row>
    <row r="4" spans="1:14" x14ac:dyDescent="0.25">
      <c r="A4" s="7" t="s">
        <v>31</v>
      </c>
      <c r="B4">
        <v>84030</v>
      </c>
      <c r="C4" s="8">
        <v>43380</v>
      </c>
      <c r="D4">
        <v>8050</v>
      </c>
      <c r="E4">
        <v>105</v>
      </c>
      <c r="F4" t="s">
        <v>2</v>
      </c>
      <c r="G4">
        <v>120</v>
      </c>
      <c r="H4">
        <v>1200</v>
      </c>
      <c r="I4" s="10" t="str">
        <f>VLOOKUP(A4,MCompany[],2,FALSE)</f>
        <v>Bere Kleid</v>
      </c>
      <c r="J4" s="10" t="str">
        <f>VLOOKUP(TableTemp[[#This Row],[Customer Code]],MCustomer[],2,FALSE)</f>
        <v>Aida GmbH</v>
      </c>
      <c r="K4" s="10" t="str">
        <f>VLOOKUP(TableTemp[[#This Row],[Article code]],MArticle[],2,FALSE)</f>
        <v>Women crop top black</v>
      </c>
      <c r="L4" s="10" t="str">
        <f>VLOOKUP(TableTemp[[#This Row],[Company]],MCompany[],3,FALSE)</f>
        <v>EUR</v>
      </c>
      <c r="M4" s="15">
        <f>IF(TableTemp[[#This Row],[Currency]]="EUR",ROUND(VLOOKUP(MONTH(TableTemp[[#This Row],[Document Date]]),MExchange[],2,FALSE)*TableTemp[[#This Row],[Sales Local Currency]],2),ROUND(TableTemp[[#This Row],[Sales Local Currency]],2))</f>
        <v>1409.93</v>
      </c>
      <c r="N4" s="51">
        <f>IF(TableTemp[[#This Row],[Reject]]="",0,TableTemp[[#This Row],[Reject]]/SUMIF(TableTemp[Company],Map!$B$9,TableTemp[Quantity]))</f>
        <v>0</v>
      </c>
    </row>
    <row r="5" spans="1:14" x14ac:dyDescent="0.25">
      <c r="A5" s="7" t="s">
        <v>31</v>
      </c>
      <c r="B5">
        <v>84030</v>
      </c>
      <c r="C5" s="8">
        <v>43380</v>
      </c>
      <c r="D5">
        <v>8050</v>
      </c>
      <c r="E5">
        <v>107</v>
      </c>
      <c r="F5">
        <v>1</v>
      </c>
      <c r="G5">
        <v>690</v>
      </c>
      <c r="H5">
        <v>3450</v>
      </c>
      <c r="I5" s="10" t="str">
        <f>VLOOKUP(A5,MCompany[],2,FALSE)</f>
        <v>Bere Kleid</v>
      </c>
      <c r="J5" s="10" t="str">
        <f>VLOOKUP(TableTemp[[#This Row],[Customer Code]],MCustomer[],2,FALSE)</f>
        <v>Aida GmbH</v>
      </c>
      <c r="K5" s="10" t="str">
        <f>VLOOKUP(TableTemp[[#This Row],[Article code]],MArticle[],2,FALSE)</f>
        <v>Women basics</v>
      </c>
      <c r="L5" s="10" t="str">
        <f>VLOOKUP(TableTemp[[#This Row],[Company]],MCompany[],3,FALSE)</f>
        <v>EUR</v>
      </c>
      <c r="M5" s="15">
        <f>IF(TableTemp[[#This Row],[Currency]]="EUR",ROUND(VLOOKUP(MONTH(TableTemp[[#This Row],[Document Date]]),MExchange[],2,FALSE)*TableTemp[[#This Row],[Sales Local Currency]],2),ROUND(TableTemp[[#This Row],[Sales Local Currency]],2))</f>
        <v>4053.54</v>
      </c>
      <c r="N5" s="51">
        <f>IF(TableTemp[[#This Row],[Reject]]="",0,TableTemp[[#This Row],[Reject]]/SUMIF(TableTemp[Company],Map!$B$9,TableTemp[Quantity]))</f>
        <v>1.6339869281045751E-4</v>
      </c>
    </row>
    <row r="6" spans="1:14" x14ac:dyDescent="0.25">
      <c r="A6" s="7" t="s">
        <v>31</v>
      </c>
      <c r="B6">
        <v>84031</v>
      </c>
      <c r="C6" s="8">
        <v>43381</v>
      </c>
      <c r="D6">
        <v>8040</v>
      </c>
      <c r="E6">
        <v>104</v>
      </c>
      <c r="F6" t="s">
        <v>2</v>
      </c>
      <c r="G6">
        <v>870</v>
      </c>
      <c r="H6">
        <v>10440</v>
      </c>
      <c r="I6" s="10" t="str">
        <f>VLOOKUP(A6,MCompany[],2,FALSE)</f>
        <v>Bere Kleid</v>
      </c>
      <c r="J6" s="10" t="str">
        <f>VLOOKUP(TableTemp[[#This Row],[Customer Code]],MCustomer[],2,FALSE)</f>
        <v>Werner Strauss</v>
      </c>
      <c r="K6" s="10" t="str">
        <f>VLOOKUP(TableTemp[[#This Row],[Article code]],MArticle[],2,FALSE)</f>
        <v>Women type T simple black</v>
      </c>
      <c r="L6" s="10" t="str">
        <f>VLOOKUP(TableTemp[[#This Row],[Company]],MCompany[],3,FALSE)</f>
        <v>EUR</v>
      </c>
      <c r="M6" s="15">
        <f>IF(TableTemp[[#This Row],[Currency]]="EUR",ROUND(VLOOKUP(MONTH(TableTemp[[#This Row],[Document Date]]),MExchange[],2,FALSE)*TableTemp[[#This Row],[Sales Local Currency]],2),ROUND(TableTemp[[#This Row],[Sales Local Currency]],2))</f>
        <v>12266.36</v>
      </c>
      <c r="N6" s="51">
        <f>IF(TableTemp[[#This Row],[Reject]]="",0,TableTemp[[#This Row],[Reject]]/SUMIF(TableTemp[Company],Map!$B$9,TableTemp[Quantity]))</f>
        <v>0</v>
      </c>
    </row>
    <row r="7" spans="1:14" x14ac:dyDescent="0.25">
      <c r="A7" s="7" t="s">
        <v>31</v>
      </c>
      <c r="B7">
        <v>84031</v>
      </c>
      <c r="C7" s="8">
        <v>43381</v>
      </c>
      <c r="D7">
        <v>8040</v>
      </c>
      <c r="E7">
        <v>107</v>
      </c>
      <c r="F7" t="s">
        <v>2</v>
      </c>
      <c r="G7">
        <v>760</v>
      </c>
      <c r="H7">
        <v>3800</v>
      </c>
      <c r="I7" s="10" t="str">
        <f>VLOOKUP(A7,MCompany[],2,FALSE)</f>
        <v>Bere Kleid</v>
      </c>
      <c r="J7" s="10" t="str">
        <f>VLOOKUP(TableTemp[[#This Row],[Customer Code]],MCustomer[],2,FALSE)</f>
        <v>Werner Strauss</v>
      </c>
      <c r="K7" s="10" t="str">
        <f>VLOOKUP(TableTemp[[#This Row],[Article code]],MArticle[],2,FALSE)</f>
        <v>Women basics</v>
      </c>
      <c r="L7" s="10" t="str">
        <f>VLOOKUP(TableTemp[[#This Row],[Company]],MCompany[],3,FALSE)</f>
        <v>EUR</v>
      </c>
      <c r="M7" s="15">
        <f>IF(TableTemp[[#This Row],[Currency]]="EUR",ROUND(VLOOKUP(MONTH(TableTemp[[#This Row],[Document Date]]),MExchange[],2,FALSE)*TableTemp[[#This Row],[Sales Local Currency]],2),ROUND(TableTemp[[#This Row],[Sales Local Currency]],2))</f>
        <v>4464.7700000000004</v>
      </c>
      <c r="N7" s="51">
        <f>IF(TableTemp[[#This Row],[Reject]]="",0,TableTemp[[#This Row],[Reject]]/SUMIF(TableTemp[Company],Map!$B$9,TableTemp[Quantity]))</f>
        <v>0</v>
      </c>
    </row>
    <row r="8" spans="1:14" x14ac:dyDescent="0.25">
      <c r="A8" s="7" t="s">
        <v>31</v>
      </c>
      <c r="B8">
        <v>84031</v>
      </c>
      <c r="C8" s="8">
        <v>43381</v>
      </c>
      <c r="D8">
        <v>8040</v>
      </c>
      <c r="E8">
        <v>110</v>
      </c>
      <c r="F8">
        <v>2</v>
      </c>
      <c r="G8">
        <v>500</v>
      </c>
      <c r="H8">
        <v>30000</v>
      </c>
      <c r="I8" s="10" t="str">
        <f>VLOOKUP(A8,MCompany[],2,FALSE)</f>
        <v>Bere Kleid</v>
      </c>
      <c r="J8" s="10" t="str">
        <f>VLOOKUP(TableTemp[[#This Row],[Customer Code]],MCustomer[],2,FALSE)</f>
        <v>Werner Strauss</v>
      </c>
      <c r="K8" s="10" t="str">
        <f>VLOOKUP(TableTemp[[#This Row],[Article code]],MArticle[],2,FALSE)</f>
        <v>Smartphone case diamond</v>
      </c>
      <c r="L8" s="10" t="str">
        <f>VLOOKUP(TableTemp[[#This Row],[Company]],MCompany[],3,FALSE)</f>
        <v>EUR</v>
      </c>
      <c r="M8" s="15">
        <f>IF(TableTemp[[#This Row],[Currency]]="EUR",ROUND(VLOOKUP(MONTH(TableTemp[[#This Row],[Document Date]]),MExchange[],2,FALSE)*TableTemp[[#This Row],[Sales Local Currency]],2),ROUND(TableTemp[[#This Row],[Sales Local Currency]],2))</f>
        <v>35248.17</v>
      </c>
      <c r="N8" s="51">
        <f>IF(TableTemp[[#This Row],[Reject]]="",0,TableTemp[[#This Row],[Reject]]/SUMIF(TableTemp[Company],Map!$B$9,TableTemp[Quantity]))</f>
        <v>3.2679738562091501E-4</v>
      </c>
    </row>
    <row r="9" spans="1:14" x14ac:dyDescent="0.25">
      <c r="A9" s="7" t="s">
        <v>31</v>
      </c>
      <c r="B9">
        <v>88112</v>
      </c>
      <c r="C9" s="8">
        <v>43384</v>
      </c>
      <c r="D9">
        <v>8040</v>
      </c>
      <c r="E9">
        <v>110</v>
      </c>
      <c r="G9">
        <v>480</v>
      </c>
      <c r="H9">
        <v>28800</v>
      </c>
      <c r="I9" s="10" t="str">
        <f>VLOOKUP(A9,MCompany[],2,FALSE)</f>
        <v>Bere Kleid</v>
      </c>
      <c r="J9" s="10" t="str">
        <f>VLOOKUP(TableTemp[[#This Row],[Customer Code]],MCustomer[],2,FALSE)</f>
        <v>Werner Strauss</v>
      </c>
      <c r="K9" s="10" t="str">
        <f>VLOOKUP(TableTemp[[#This Row],[Article code]],MArticle[],2,FALSE)</f>
        <v>Smartphone case diamond</v>
      </c>
      <c r="L9" s="10" t="str">
        <f>VLOOKUP(TableTemp[[#This Row],[Company]],MCompany[],3,FALSE)</f>
        <v>EUR</v>
      </c>
      <c r="M9" s="15">
        <f>IF(TableTemp[[#This Row],[Currency]]="EUR",ROUND(VLOOKUP(MONTH(TableTemp[[#This Row],[Document Date]]),MExchange[],2,FALSE)*TableTemp[[#This Row],[Sales Local Currency]],2),ROUND(TableTemp[[#This Row],[Sales Local Currency]],2))</f>
        <v>33838.239999999998</v>
      </c>
      <c r="N9" s="51">
        <f>IF(TableTemp[[#This Row],[Reject]]="",0,TableTemp[[#This Row],[Reject]]/SUMIF(TableTemp[Company],Map!$B$9,TableTemp[Quantity]))</f>
        <v>0</v>
      </c>
    </row>
    <row r="10" spans="1:14" x14ac:dyDescent="0.25">
      <c r="A10" s="7" t="s">
        <v>31</v>
      </c>
      <c r="B10">
        <v>88112</v>
      </c>
      <c r="C10" s="8">
        <v>43384</v>
      </c>
      <c r="D10">
        <v>8040</v>
      </c>
      <c r="E10">
        <v>119</v>
      </c>
      <c r="F10" t="s">
        <v>2</v>
      </c>
      <c r="G10">
        <v>630</v>
      </c>
      <c r="H10">
        <v>39060</v>
      </c>
      <c r="I10" s="10" t="str">
        <f>VLOOKUP(A10,MCompany[],2,FALSE)</f>
        <v>Bere Kleid</v>
      </c>
      <c r="J10" s="10" t="str">
        <f>VLOOKUP(TableTemp[[#This Row],[Customer Code]],MCustomer[],2,FALSE)</f>
        <v>Werner Strauss</v>
      </c>
      <c r="K10" s="10" t="str">
        <f>VLOOKUP(TableTemp[[#This Row],[Article code]],MArticle[],2,FALSE)</f>
        <v>Women evening dress long black</v>
      </c>
      <c r="L10" s="10" t="str">
        <f>VLOOKUP(TableTemp[[#This Row],[Company]],MCompany[],3,FALSE)</f>
        <v>EUR</v>
      </c>
      <c r="M10" s="15">
        <f>IF(TableTemp[[#This Row],[Currency]]="EUR",ROUND(VLOOKUP(MONTH(TableTemp[[#This Row],[Document Date]]),MExchange[],2,FALSE)*TableTemp[[#This Row],[Sales Local Currency]],2),ROUND(TableTemp[[#This Row],[Sales Local Currency]],2))</f>
        <v>45893.120000000003</v>
      </c>
      <c r="N10" s="51">
        <f>IF(TableTemp[[#This Row],[Reject]]="",0,TableTemp[[#This Row],[Reject]]/SUMIF(TableTemp[Company],Map!$B$9,TableTemp[Quantity]))</f>
        <v>0</v>
      </c>
    </row>
    <row r="11" spans="1:14" x14ac:dyDescent="0.25">
      <c r="A11" s="7" t="s">
        <v>31</v>
      </c>
      <c r="B11">
        <v>88112</v>
      </c>
      <c r="C11" s="8">
        <v>43384</v>
      </c>
      <c r="D11">
        <v>8040</v>
      </c>
      <c r="E11">
        <v>120</v>
      </c>
      <c r="G11">
        <v>150</v>
      </c>
      <c r="H11">
        <v>8700</v>
      </c>
      <c r="I11" s="10" t="str">
        <f>VLOOKUP(A11,MCompany[],2,FALSE)</f>
        <v>Bere Kleid</v>
      </c>
      <c r="J11" s="10" t="str">
        <f>VLOOKUP(TableTemp[[#This Row],[Customer Code]],MCustomer[],2,FALSE)</f>
        <v>Werner Strauss</v>
      </c>
      <c r="K11" s="10" t="str">
        <f>VLOOKUP(TableTemp[[#This Row],[Article code]],MArticle[],2,FALSE)</f>
        <v>Women evening dress Cocktail red</v>
      </c>
      <c r="L11" s="10" t="str">
        <f>VLOOKUP(TableTemp[[#This Row],[Company]],MCompany[],3,FALSE)</f>
        <v>EUR</v>
      </c>
      <c r="M11" s="15">
        <f>IF(TableTemp[[#This Row],[Currency]]="EUR",ROUND(VLOOKUP(MONTH(TableTemp[[#This Row],[Document Date]]),MExchange[],2,FALSE)*TableTemp[[#This Row],[Sales Local Currency]],2),ROUND(TableTemp[[#This Row],[Sales Local Currency]],2))</f>
        <v>10221.969999999999</v>
      </c>
      <c r="N11" s="51">
        <f>IF(TableTemp[[#This Row],[Reject]]="",0,TableTemp[[#This Row],[Reject]]/SUMIF(TableTemp[Company],Map!$B$9,TableTemp[Quantity]))</f>
        <v>0</v>
      </c>
    </row>
    <row r="12" spans="1:14" x14ac:dyDescent="0.25">
      <c r="A12" s="7" t="s">
        <v>31</v>
      </c>
      <c r="B12">
        <v>88112</v>
      </c>
      <c r="C12" s="8">
        <v>43384</v>
      </c>
      <c r="D12">
        <v>8040</v>
      </c>
      <c r="E12">
        <v>116</v>
      </c>
      <c r="F12">
        <v>4</v>
      </c>
      <c r="G12">
        <v>760</v>
      </c>
      <c r="H12">
        <v>4560</v>
      </c>
      <c r="I12" s="10" t="str">
        <f>VLOOKUP(A12,MCompany[],2,FALSE)</f>
        <v>Bere Kleid</v>
      </c>
      <c r="J12" s="10" t="str">
        <f>VLOOKUP(TableTemp[[#This Row],[Customer Code]],MCustomer[],2,FALSE)</f>
        <v>Werner Strauss</v>
      </c>
      <c r="K12" s="10" t="str">
        <f>VLOOKUP(TableTemp[[#This Row],[Article code]],MArticle[],2,FALSE)</f>
        <v>Unisex tank top white</v>
      </c>
      <c r="L12" s="10" t="str">
        <f>VLOOKUP(TableTemp[[#This Row],[Company]],MCompany[],3,FALSE)</f>
        <v>EUR</v>
      </c>
      <c r="M12" s="15">
        <f>IF(TableTemp[[#This Row],[Currency]]="EUR",ROUND(VLOOKUP(MONTH(TableTemp[[#This Row],[Document Date]]),MExchange[],2,FALSE)*TableTemp[[#This Row],[Sales Local Currency]],2),ROUND(TableTemp[[#This Row],[Sales Local Currency]],2))</f>
        <v>5357.72</v>
      </c>
      <c r="N12" s="51">
        <f>IF(TableTemp[[#This Row],[Reject]]="",0,TableTemp[[#This Row],[Reject]]/SUMIF(TableTemp[Company],Map!$B$9,TableTemp[Quantity]))</f>
        <v>6.5359477124183002E-4</v>
      </c>
    </row>
    <row r="13" spans="1:14" x14ac:dyDescent="0.25">
      <c r="A13" s="7" t="s">
        <v>31</v>
      </c>
      <c r="B13">
        <v>88112</v>
      </c>
      <c r="C13" s="8">
        <v>43384</v>
      </c>
      <c r="D13">
        <v>8040</v>
      </c>
      <c r="E13">
        <v>111</v>
      </c>
      <c r="G13">
        <v>590</v>
      </c>
      <c r="H13">
        <v>11800</v>
      </c>
      <c r="I13" s="10" t="str">
        <f>VLOOKUP(A13,MCompany[],2,FALSE)</f>
        <v>Bere Kleid</v>
      </c>
      <c r="J13" s="10" t="str">
        <f>VLOOKUP(TableTemp[[#This Row],[Customer Code]],MCustomer[],2,FALSE)</f>
        <v>Werner Strauss</v>
      </c>
      <c r="K13" s="10" t="str">
        <f>VLOOKUP(TableTemp[[#This Row],[Article code]],MArticle[],2,FALSE)</f>
        <v>Smartphone case simple</v>
      </c>
      <c r="L13" s="10" t="str">
        <f>VLOOKUP(TableTemp[[#This Row],[Company]],MCompany[],3,FALSE)</f>
        <v>EUR</v>
      </c>
      <c r="M13" s="15">
        <f>IF(TableTemp[[#This Row],[Currency]]="EUR",ROUND(VLOOKUP(MONTH(TableTemp[[#This Row],[Document Date]]),MExchange[],2,FALSE)*TableTemp[[#This Row],[Sales Local Currency]],2),ROUND(TableTemp[[#This Row],[Sales Local Currency]],2))</f>
        <v>13864.28</v>
      </c>
      <c r="N13" s="51">
        <f>IF(TableTemp[[#This Row],[Reject]]="",0,TableTemp[[#This Row],[Reject]]/SUMIF(TableTemp[Company],Map!$B$9,TableTemp[Quantity]))</f>
        <v>0</v>
      </c>
    </row>
    <row r="14" spans="1:14" x14ac:dyDescent="0.25">
      <c r="A14" s="7" t="s">
        <v>31</v>
      </c>
      <c r="B14">
        <v>88112</v>
      </c>
      <c r="C14" s="8">
        <v>43384</v>
      </c>
      <c r="D14">
        <v>8040</v>
      </c>
      <c r="E14">
        <v>110</v>
      </c>
      <c r="G14">
        <v>530</v>
      </c>
      <c r="H14">
        <v>31800</v>
      </c>
      <c r="I14" s="10" t="str">
        <f>VLOOKUP(A14,MCompany[],2,FALSE)</f>
        <v>Bere Kleid</v>
      </c>
      <c r="J14" s="10" t="str">
        <f>VLOOKUP(TableTemp[[#This Row],[Customer Code]],MCustomer[],2,FALSE)</f>
        <v>Werner Strauss</v>
      </c>
      <c r="K14" s="10" t="str">
        <f>VLOOKUP(TableTemp[[#This Row],[Article code]],MArticle[],2,FALSE)</f>
        <v>Smartphone case diamond</v>
      </c>
      <c r="L14" s="10" t="str">
        <f>VLOOKUP(TableTemp[[#This Row],[Company]],MCompany[],3,FALSE)</f>
        <v>EUR</v>
      </c>
      <c r="M14" s="15">
        <f>IF(TableTemp[[#This Row],[Currency]]="EUR",ROUND(VLOOKUP(MONTH(TableTemp[[#This Row],[Document Date]]),MExchange[],2,FALSE)*TableTemp[[#This Row],[Sales Local Currency]],2),ROUND(TableTemp[[#This Row],[Sales Local Currency]],2))</f>
        <v>37363.06</v>
      </c>
      <c r="N14" s="51">
        <f>IF(TableTemp[[#This Row],[Reject]]="",0,TableTemp[[#This Row],[Reject]]/SUMIF(TableTemp[Company],Map!$B$9,TableTemp[Quantity]))</f>
        <v>0</v>
      </c>
    </row>
    <row r="15" spans="1:14" x14ac:dyDescent="0.25">
      <c r="A15" s="7" t="s">
        <v>31</v>
      </c>
      <c r="B15">
        <v>88112</v>
      </c>
      <c r="C15" s="8">
        <v>43384</v>
      </c>
      <c r="D15">
        <v>8040</v>
      </c>
      <c r="E15">
        <v>109</v>
      </c>
      <c r="G15">
        <v>260</v>
      </c>
      <c r="H15">
        <v>7280</v>
      </c>
      <c r="I15" s="10" t="str">
        <f>VLOOKUP(A15,MCompany[],2,FALSE)</f>
        <v>Bere Kleid</v>
      </c>
      <c r="J15" s="10" t="str">
        <f>VLOOKUP(TableTemp[[#This Row],[Customer Code]],MCustomer[],2,FALSE)</f>
        <v>Werner Strauss</v>
      </c>
      <c r="K15" s="10" t="str">
        <f>VLOOKUP(TableTemp[[#This Row],[Article code]],MArticle[],2,FALSE)</f>
        <v>Laptop bag red</v>
      </c>
      <c r="L15" s="10" t="str">
        <f>VLOOKUP(TableTemp[[#This Row],[Company]],MCompany[],3,FALSE)</f>
        <v>EUR</v>
      </c>
      <c r="M15" s="15">
        <f>IF(TableTemp[[#This Row],[Currency]]="EUR",ROUND(VLOOKUP(MONTH(TableTemp[[#This Row],[Document Date]]),MExchange[],2,FALSE)*TableTemp[[#This Row],[Sales Local Currency]],2),ROUND(TableTemp[[#This Row],[Sales Local Currency]],2))</f>
        <v>8553.56</v>
      </c>
      <c r="N15" s="51">
        <f>IF(TableTemp[[#This Row],[Reject]]="",0,TableTemp[[#This Row],[Reject]]/SUMIF(TableTemp[Company],Map!$B$9,TableTemp[Quantity]))</f>
        <v>0</v>
      </c>
    </row>
    <row r="16" spans="1:14" x14ac:dyDescent="0.25">
      <c r="A16" s="7" t="s">
        <v>31</v>
      </c>
      <c r="B16">
        <v>85442</v>
      </c>
      <c r="C16" s="8">
        <v>43388</v>
      </c>
      <c r="D16">
        <v>8050</v>
      </c>
      <c r="E16">
        <v>107</v>
      </c>
      <c r="G16">
        <v>270</v>
      </c>
      <c r="H16">
        <v>1350</v>
      </c>
      <c r="I16" s="10" t="str">
        <f>VLOOKUP(A16,MCompany[],2,FALSE)</f>
        <v>Bere Kleid</v>
      </c>
      <c r="J16" s="10" t="str">
        <f>VLOOKUP(TableTemp[[#This Row],[Customer Code]],MCustomer[],2,FALSE)</f>
        <v>Aida GmbH</v>
      </c>
      <c r="K16" s="10" t="str">
        <f>VLOOKUP(TableTemp[[#This Row],[Article code]],MArticle[],2,FALSE)</f>
        <v>Women basics</v>
      </c>
      <c r="L16" s="10" t="str">
        <f>VLOOKUP(TableTemp[[#This Row],[Company]],MCompany[],3,FALSE)</f>
        <v>EUR</v>
      </c>
      <c r="M16" s="15">
        <f>IF(TableTemp[[#This Row],[Currency]]="EUR",ROUND(VLOOKUP(MONTH(TableTemp[[#This Row],[Document Date]]),MExchange[],2,FALSE)*TableTemp[[#This Row],[Sales Local Currency]],2),ROUND(TableTemp[[#This Row],[Sales Local Currency]],2))</f>
        <v>1586.17</v>
      </c>
      <c r="N16" s="51">
        <f>IF(TableTemp[[#This Row],[Reject]]="",0,TableTemp[[#This Row],[Reject]]/SUMIF(TableTemp[Company],Map!$B$9,TableTemp[Quantity]))</f>
        <v>0</v>
      </c>
    </row>
    <row r="17" spans="1:14" x14ac:dyDescent="0.25">
      <c r="A17" s="7" t="s">
        <v>31</v>
      </c>
      <c r="B17">
        <v>85442</v>
      </c>
      <c r="C17" s="8">
        <v>43388</v>
      </c>
      <c r="D17">
        <v>8050</v>
      </c>
      <c r="E17">
        <v>103</v>
      </c>
      <c r="G17">
        <v>630</v>
      </c>
      <c r="H17">
        <v>7560</v>
      </c>
      <c r="I17" s="10" t="str">
        <f>VLOOKUP(A17,MCompany[],2,FALSE)</f>
        <v>Bere Kleid</v>
      </c>
      <c r="J17" s="10" t="str">
        <f>VLOOKUP(TableTemp[[#This Row],[Customer Code]],MCustomer[],2,FALSE)</f>
        <v>Aida GmbH</v>
      </c>
      <c r="K17" s="10" t="str">
        <f>VLOOKUP(TableTemp[[#This Row],[Article code]],MArticle[],2,FALSE)</f>
        <v>Women type T simple white</v>
      </c>
      <c r="L17" s="10" t="str">
        <f>VLOOKUP(TableTemp[[#This Row],[Company]],MCompany[],3,FALSE)</f>
        <v>EUR</v>
      </c>
      <c r="M17" s="15">
        <f>IF(TableTemp[[#This Row],[Currency]]="EUR",ROUND(VLOOKUP(MONTH(TableTemp[[#This Row],[Document Date]]),MExchange[],2,FALSE)*TableTemp[[#This Row],[Sales Local Currency]],2),ROUND(TableTemp[[#This Row],[Sales Local Currency]],2))</f>
        <v>8882.5400000000009</v>
      </c>
      <c r="N17" s="51">
        <f>IF(TableTemp[[#This Row],[Reject]]="",0,TableTemp[[#This Row],[Reject]]/SUMIF(TableTemp[Company],Map!$B$9,TableTemp[Quantity]))</f>
        <v>0</v>
      </c>
    </row>
    <row r="18" spans="1:14" x14ac:dyDescent="0.25">
      <c r="A18" s="7" t="s">
        <v>31</v>
      </c>
      <c r="B18">
        <v>85442</v>
      </c>
      <c r="C18" s="8">
        <v>43388</v>
      </c>
      <c r="D18">
        <v>8050</v>
      </c>
      <c r="E18">
        <v>104</v>
      </c>
      <c r="G18">
        <v>440</v>
      </c>
      <c r="H18">
        <v>5280</v>
      </c>
      <c r="I18" s="10" t="str">
        <f>VLOOKUP(A18,MCompany[],2,FALSE)</f>
        <v>Bere Kleid</v>
      </c>
      <c r="J18" s="10" t="str">
        <f>VLOOKUP(TableTemp[[#This Row],[Customer Code]],MCustomer[],2,FALSE)</f>
        <v>Aida GmbH</v>
      </c>
      <c r="K18" s="10" t="str">
        <f>VLOOKUP(TableTemp[[#This Row],[Article code]],MArticle[],2,FALSE)</f>
        <v>Women type T simple black</v>
      </c>
      <c r="L18" s="10" t="str">
        <f>VLOOKUP(TableTemp[[#This Row],[Company]],MCompany[],3,FALSE)</f>
        <v>EUR</v>
      </c>
      <c r="M18" s="15">
        <f>IF(TableTemp[[#This Row],[Currency]]="EUR",ROUND(VLOOKUP(MONTH(TableTemp[[#This Row],[Document Date]]),MExchange[],2,FALSE)*TableTemp[[#This Row],[Sales Local Currency]],2),ROUND(TableTemp[[#This Row],[Sales Local Currency]],2))</f>
        <v>6203.68</v>
      </c>
      <c r="N18" s="51">
        <f>IF(TableTemp[[#This Row],[Reject]]="",0,TableTemp[[#This Row],[Reject]]/SUMIF(TableTemp[Company],Map!$B$9,TableTemp[Quantity]))</f>
        <v>0</v>
      </c>
    </row>
    <row r="19" spans="1:14" x14ac:dyDescent="0.25">
      <c r="A19" s="7" t="s">
        <v>31</v>
      </c>
      <c r="B19">
        <v>85442</v>
      </c>
      <c r="C19" s="8">
        <v>43388</v>
      </c>
      <c r="D19">
        <v>8050</v>
      </c>
      <c r="E19">
        <v>120</v>
      </c>
      <c r="G19">
        <v>500</v>
      </c>
      <c r="H19">
        <v>29000</v>
      </c>
      <c r="I19" s="10" t="str">
        <f>VLOOKUP(A19,MCompany[],2,FALSE)</f>
        <v>Bere Kleid</v>
      </c>
      <c r="J19" s="10" t="str">
        <f>VLOOKUP(TableTemp[[#This Row],[Customer Code]],MCustomer[],2,FALSE)</f>
        <v>Aida GmbH</v>
      </c>
      <c r="K19" s="10" t="str">
        <f>VLOOKUP(TableTemp[[#This Row],[Article code]],MArticle[],2,FALSE)</f>
        <v>Women evening dress Cocktail red</v>
      </c>
      <c r="L19" s="10" t="str">
        <f>VLOOKUP(TableTemp[[#This Row],[Company]],MCompany[],3,FALSE)</f>
        <v>EUR</v>
      </c>
      <c r="M19" s="15">
        <f>IF(TableTemp[[#This Row],[Currency]]="EUR",ROUND(VLOOKUP(MONTH(TableTemp[[#This Row],[Document Date]]),MExchange[],2,FALSE)*TableTemp[[#This Row],[Sales Local Currency]],2),ROUND(TableTemp[[#This Row],[Sales Local Currency]],2))</f>
        <v>34073.230000000003</v>
      </c>
      <c r="N19" s="51">
        <f>IF(TableTemp[[#This Row],[Reject]]="",0,TableTemp[[#This Row],[Reject]]/SUMIF(TableTemp[Company],Map!$B$9,TableTemp[Quantity]))</f>
        <v>0</v>
      </c>
    </row>
    <row r="20" spans="1:14" x14ac:dyDescent="0.25">
      <c r="A20" s="7" t="s">
        <v>31</v>
      </c>
      <c r="B20">
        <v>85442</v>
      </c>
      <c r="C20" s="8">
        <v>43388</v>
      </c>
      <c r="D20">
        <v>8050</v>
      </c>
      <c r="E20">
        <v>119</v>
      </c>
      <c r="F20">
        <v>1</v>
      </c>
      <c r="G20">
        <v>360</v>
      </c>
      <c r="H20">
        <v>22320</v>
      </c>
      <c r="I20" s="10" t="str">
        <f>VLOOKUP(A20,MCompany[],2,FALSE)</f>
        <v>Bere Kleid</v>
      </c>
      <c r="J20" s="10" t="str">
        <f>VLOOKUP(TableTemp[[#This Row],[Customer Code]],MCustomer[],2,FALSE)</f>
        <v>Aida GmbH</v>
      </c>
      <c r="K20" s="10" t="str">
        <f>VLOOKUP(TableTemp[[#This Row],[Article code]],MArticle[],2,FALSE)</f>
        <v>Women evening dress long black</v>
      </c>
      <c r="L20" s="10" t="str">
        <f>VLOOKUP(TableTemp[[#This Row],[Company]],MCompany[],3,FALSE)</f>
        <v>EUR</v>
      </c>
      <c r="M20" s="15">
        <f>IF(TableTemp[[#This Row],[Currency]]="EUR",ROUND(VLOOKUP(MONTH(TableTemp[[#This Row],[Document Date]]),MExchange[],2,FALSE)*TableTemp[[#This Row],[Sales Local Currency]],2),ROUND(TableTemp[[#This Row],[Sales Local Currency]],2))</f>
        <v>26224.639999999999</v>
      </c>
      <c r="N20" s="51">
        <f>IF(TableTemp[[#This Row],[Reject]]="",0,TableTemp[[#This Row],[Reject]]/SUMIF(TableTemp[Company],Map!$B$9,TableTemp[Quantity]))</f>
        <v>1.6339869281045751E-4</v>
      </c>
    </row>
    <row r="21" spans="1:14" x14ac:dyDescent="0.25">
      <c r="A21" s="7" t="s">
        <v>31</v>
      </c>
      <c r="B21">
        <v>85442</v>
      </c>
      <c r="C21" s="8">
        <v>43388</v>
      </c>
      <c r="D21">
        <v>8050</v>
      </c>
      <c r="E21">
        <v>115</v>
      </c>
      <c r="G21">
        <v>810</v>
      </c>
      <c r="H21">
        <v>4860</v>
      </c>
      <c r="I21" s="10" t="str">
        <f>VLOOKUP(A21,MCompany[],2,FALSE)</f>
        <v>Bere Kleid</v>
      </c>
      <c r="J21" s="10" t="str">
        <f>VLOOKUP(TableTemp[[#This Row],[Customer Code]],MCustomer[],2,FALSE)</f>
        <v>Aida GmbH</v>
      </c>
      <c r="K21" s="10" t="str">
        <f>VLOOKUP(TableTemp[[#This Row],[Article code]],MArticle[],2,FALSE)</f>
        <v>Unisex tank top black</v>
      </c>
      <c r="L21" s="10" t="str">
        <f>VLOOKUP(TableTemp[[#This Row],[Company]],MCompany[],3,FALSE)</f>
        <v>EUR</v>
      </c>
      <c r="M21" s="15">
        <f>IF(TableTemp[[#This Row],[Currency]]="EUR",ROUND(VLOOKUP(MONTH(TableTemp[[#This Row],[Document Date]]),MExchange[],2,FALSE)*TableTemp[[#This Row],[Sales Local Currency]],2),ROUND(TableTemp[[#This Row],[Sales Local Currency]],2))</f>
        <v>5710.2</v>
      </c>
      <c r="N21" s="51">
        <f>IF(TableTemp[[#This Row],[Reject]]="",0,TableTemp[[#This Row],[Reject]]/SUMIF(TableTemp[Company],Map!$B$9,TableTemp[Quantity]))</f>
        <v>0</v>
      </c>
    </row>
    <row r="22" spans="1:14" x14ac:dyDescent="0.25">
      <c r="A22" s="7" t="s">
        <v>31</v>
      </c>
      <c r="B22">
        <v>85442</v>
      </c>
      <c r="C22" s="8">
        <v>43388</v>
      </c>
      <c r="D22">
        <v>8050</v>
      </c>
      <c r="E22">
        <v>108</v>
      </c>
      <c r="G22">
        <v>800</v>
      </c>
      <c r="H22">
        <v>22400</v>
      </c>
      <c r="I22" s="10" t="str">
        <f>VLOOKUP(A22,MCompany[],2,FALSE)</f>
        <v>Bere Kleid</v>
      </c>
      <c r="J22" s="10" t="str">
        <f>VLOOKUP(TableTemp[[#This Row],[Customer Code]],MCustomer[],2,FALSE)</f>
        <v>Aida GmbH</v>
      </c>
      <c r="K22" s="10" t="str">
        <f>VLOOKUP(TableTemp[[#This Row],[Article code]],MArticle[],2,FALSE)</f>
        <v>Laptop bag black</v>
      </c>
      <c r="L22" s="10" t="str">
        <f>VLOOKUP(TableTemp[[#This Row],[Company]],MCompany[],3,FALSE)</f>
        <v>EUR</v>
      </c>
      <c r="M22" s="15">
        <f>IF(TableTemp[[#This Row],[Currency]]="EUR",ROUND(VLOOKUP(MONTH(TableTemp[[#This Row],[Document Date]]),MExchange[],2,FALSE)*TableTemp[[#This Row],[Sales Local Currency]],2),ROUND(TableTemp[[#This Row],[Sales Local Currency]],2))</f>
        <v>26318.63</v>
      </c>
      <c r="N22" s="51">
        <f>IF(TableTemp[[#This Row],[Reject]]="",0,TableTemp[[#This Row],[Reject]]/SUMIF(TableTemp[Company],Map!$B$9,TableTemp[Quantity]))</f>
        <v>0</v>
      </c>
    </row>
    <row r="23" spans="1:14" x14ac:dyDescent="0.25">
      <c r="A23" s="7" t="s">
        <v>31</v>
      </c>
      <c r="B23">
        <v>88588</v>
      </c>
      <c r="C23" s="8">
        <v>43388</v>
      </c>
      <c r="D23">
        <v>8040</v>
      </c>
      <c r="E23">
        <v>120</v>
      </c>
      <c r="G23">
        <v>470</v>
      </c>
      <c r="H23">
        <v>27260</v>
      </c>
      <c r="I23" s="10" t="str">
        <f>VLOOKUP(A23,MCompany[],2,FALSE)</f>
        <v>Bere Kleid</v>
      </c>
      <c r="J23" s="10" t="str">
        <f>VLOOKUP(TableTemp[[#This Row],[Customer Code]],MCustomer[],2,FALSE)</f>
        <v>Werner Strauss</v>
      </c>
      <c r="K23" s="10" t="str">
        <f>VLOOKUP(TableTemp[[#This Row],[Article code]],MArticle[],2,FALSE)</f>
        <v>Women evening dress Cocktail red</v>
      </c>
      <c r="L23" s="10" t="str">
        <f>VLOOKUP(TableTemp[[#This Row],[Company]],MCompany[],3,FALSE)</f>
        <v>EUR</v>
      </c>
      <c r="M23" s="15">
        <f>IF(TableTemp[[#This Row],[Currency]]="EUR",ROUND(VLOOKUP(MONTH(TableTemp[[#This Row],[Document Date]]),MExchange[],2,FALSE)*TableTemp[[#This Row],[Sales Local Currency]],2),ROUND(TableTemp[[#This Row],[Sales Local Currency]],2))</f>
        <v>32028.84</v>
      </c>
      <c r="N23" s="51">
        <f>IF(TableTemp[[#This Row],[Reject]]="",0,TableTemp[[#This Row],[Reject]]/SUMIF(TableTemp[Company],Map!$B$9,TableTemp[Quantity]))</f>
        <v>0</v>
      </c>
    </row>
    <row r="24" spans="1:14" x14ac:dyDescent="0.25">
      <c r="A24" s="7" t="s">
        <v>31</v>
      </c>
      <c r="B24">
        <v>88588</v>
      </c>
      <c r="C24" s="8">
        <v>43388</v>
      </c>
      <c r="D24">
        <v>8040</v>
      </c>
      <c r="E24">
        <v>119</v>
      </c>
      <c r="G24">
        <v>860</v>
      </c>
      <c r="H24">
        <v>53320</v>
      </c>
      <c r="I24" s="10" t="str">
        <f>VLOOKUP(A24,MCompany[],2,FALSE)</f>
        <v>Bere Kleid</v>
      </c>
      <c r="J24" s="10" t="str">
        <f>VLOOKUP(TableTemp[[#This Row],[Customer Code]],MCustomer[],2,FALSE)</f>
        <v>Werner Strauss</v>
      </c>
      <c r="K24" s="10" t="str">
        <f>VLOOKUP(TableTemp[[#This Row],[Article code]],MArticle[],2,FALSE)</f>
        <v>Women evening dress long black</v>
      </c>
      <c r="L24" s="10" t="str">
        <f>VLOOKUP(TableTemp[[#This Row],[Company]],MCompany[],3,FALSE)</f>
        <v>EUR</v>
      </c>
      <c r="M24" s="15">
        <f>IF(TableTemp[[#This Row],[Currency]]="EUR",ROUND(VLOOKUP(MONTH(TableTemp[[#This Row],[Document Date]]),MExchange[],2,FALSE)*TableTemp[[#This Row],[Sales Local Currency]],2),ROUND(TableTemp[[#This Row],[Sales Local Currency]],2))</f>
        <v>62647.75</v>
      </c>
      <c r="N24" s="51">
        <f>IF(TableTemp[[#This Row],[Reject]]="",0,TableTemp[[#This Row],[Reject]]/SUMIF(TableTemp[Company],Map!$B$9,TableTemp[Quantity]))</f>
        <v>0</v>
      </c>
    </row>
    <row r="25" spans="1:14" x14ac:dyDescent="0.25">
      <c r="A25" s="7" t="s">
        <v>31</v>
      </c>
      <c r="B25">
        <v>88588</v>
      </c>
      <c r="C25" s="8">
        <v>43388</v>
      </c>
      <c r="D25">
        <v>8040</v>
      </c>
      <c r="E25">
        <v>110</v>
      </c>
      <c r="G25">
        <v>180</v>
      </c>
      <c r="H25">
        <v>10800</v>
      </c>
      <c r="I25" s="10" t="str">
        <f>VLOOKUP(A25,MCompany[],2,FALSE)</f>
        <v>Bere Kleid</v>
      </c>
      <c r="J25" s="10" t="str">
        <f>VLOOKUP(TableTemp[[#This Row],[Customer Code]],MCustomer[],2,FALSE)</f>
        <v>Werner Strauss</v>
      </c>
      <c r="K25" s="10" t="str">
        <f>VLOOKUP(TableTemp[[#This Row],[Article code]],MArticle[],2,FALSE)</f>
        <v>Smartphone case diamond</v>
      </c>
      <c r="L25" s="10" t="str">
        <f>VLOOKUP(TableTemp[[#This Row],[Company]],MCompany[],3,FALSE)</f>
        <v>EUR</v>
      </c>
      <c r="M25" s="15">
        <f>IF(TableTemp[[#This Row],[Currency]]="EUR",ROUND(VLOOKUP(MONTH(TableTemp[[#This Row],[Document Date]]),MExchange[],2,FALSE)*TableTemp[[#This Row],[Sales Local Currency]],2),ROUND(TableTemp[[#This Row],[Sales Local Currency]],2))</f>
        <v>12689.34</v>
      </c>
      <c r="N25" s="51">
        <f>IF(TableTemp[[#This Row],[Reject]]="",0,TableTemp[[#This Row],[Reject]]/SUMIF(TableTemp[Company],Map!$B$9,TableTemp[Quantity]))</f>
        <v>0</v>
      </c>
    </row>
    <row r="26" spans="1:14" x14ac:dyDescent="0.25">
      <c r="A26" s="7" t="s">
        <v>31</v>
      </c>
      <c r="B26">
        <v>88588</v>
      </c>
      <c r="C26" s="8">
        <v>43388</v>
      </c>
      <c r="D26">
        <v>8040</v>
      </c>
      <c r="E26">
        <v>111</v>
      </c>
      <c r="G26">
        <v>750</v>
      </c>
      <c r="H26">
        <v>15000</v>
      </c>
      <c r="I26" s="10" t="str">
        <f>VLOOKUP(A26,MCompany[],2,FALSE)</f>
        <v>Bere Kleid</v>
      </c>
      <c r="J26" s="10" t="str">
        <f>VLOOKUP(TableTemp[[#This Row],[Customer Code]],MCustomer[],2,FALSE)</f>
        <v>Werner Strauss</v>
      </c>
      <c r="K26" s="10" t="str">
        <f>VLOOKUP(TableTemp[[#This Row],[Article code]],MArticle[],2,FALSE)</f>
        <v>Smartphone case simple</v>
      </c>
      <c r="L26" s="10" t="str">
        <f>VLOOKUP(TableTemp[[#This Row],[Company]],MCompany[],3,FALSE)</f>
        <v>EUR</v>
      </c>
      <c r="M26" s="15">
        <f>IF(TableTemp[[#This Row],[Currency]]="EUR",ROUND(VLOOKUP(MONTH(TableTemp[[#This Row],[Document Date]]),MExchange[],2,FALSE)*TableTemp[[#This Row],[Sales Local Currency]],2),ROUND(TableTemp[[#This Row],[Sales Local Currency]],2))</f>
        <v>17624.09</v>
      </c>
      <c r="N26" s="51">
        <f>IF(TableTemp[[#This Row],[Reject]]="",0,TableTemp[[#This Row],[Reject]]/SUMIF(TableTemp[Company],Map!$B$9,TableTemp[Quantity]))</f>
        <v>0</v>
      </c>
    </row>
    <row r="27" spans="1:14" x14ac:dyDescent="0.25">
      <c r="A27" s="7" t="s">
        <v>31</v>
      </c>
      <c r="B27">
        <v>88588</v>
      </c>
      <c r="C27" s="8">
        <v>43388</v>
      </c>
      <c r="D27">
        <v>8040</v>
      </c>
      <c r="E27">
        <v>109</v>
      </c>
      <c r="G27">
        <v>560</v>
      </c>
      <c r="H27">
        <v>15680</v>
      </c>
      <c r="I27" s="10" t="str">
        <f>VLOOKUP(A27,MCompany[],2,FALSE)</f>
        <v>Bere Kleid</v>
      </c>
      <c r="J27" s="10" t="str">
        <f>VLOOKUP(TableTemp[[#This Row],[Customer Code]],MCustomer[],2,FALSE)</f>
        <v>Werner Strauss</v>
      </c>
      <c r="K27" s="10" t="str">
        <f>VLOOKUP(TableTemp[[#This Row],[Article code]],MArticle[],2,FALSE)</f>
        <v>Laptop bag red</v>
      </c>
      <c r="L27" s="10" t="str">
        <f>VLOOKUP(TableTemp[[#This Row],[Company]],MCompany[],3,FALSE)</f>
        <v>EUR</v>
      </c>
      <c r="M27" s="15">
        <f>IF(TableTemp[[#This Row],[Currency]]="EUR",ROUND(VLOOKUP(MONTH(TableTemp[[#This Row],[Document Date]]),MExchange[],2,FALSE)*TableTemp[[#This Row],[Sales Local Currency]],2),ROUND(TableTemp[[#This Row],[Sales Local Currency]],2))</f>
        <v>18423.04</v>
      </c>
      <c r="N27" s="51">
        <f>IF(TableTemp[[#This Row],[Reject]]="",0,TableTemp[[#This Row],[Reject]]/SUMIF(TableTemp[Company],Map!$B$9,TableTemp[Quantity]))</f>
        <v>0</v>
      </c>
    </row>
    <row r="28" spans="1:14" x14ac:dyDescent="0.25">
      <c r="A28" s="7" t="s">
        <v>31</v>
      </c>
      <c r="B28">
        <v>88588</v>
      </c>
      <c r="C28" s="8">
        <v>43388</v>
      </c>
      <c r="D28">
        <v>8040</v>
      </c>
      <c r="E28">
        <v>105</v>
      </c>
      <c r="G28">
        <v>130</v>
      </c>
      <c r="H28">
        <v>1300</v>
      </c>
      <c r="I28" s="10" t="str">
        <f>VLOOKUP(A28,MCompany[],2,FALSE)</f>
        <v>Bere Kleid</v>
      </c>
      <c r="J28" s="10" t="str">
        <f>VLOOKUP(TableTemp[[#This Row],[Customer Code]],MCustomer[],2,FALSE)</f>
        <v>Werner Strauss</v>
      </c>
      <c r="K28" s="10" t="str">
        <f>VLOOKUP(TableTemp[[#This Row],[Article code]],MArticle[],2,FALSE)</f>
        <v>Women crop top black</v>
      </c>
      <c r="L28" s="10" t="str">
        <f>VLOOKUP(TableTemp[[#This Row],[Company]],MCompany[],3,FALSE)</f>
        <v>EUR</v>
      </c>
      <c r="M28" s="15">
        <f>IF(TableTemp[[#This Row],[Currency]]="EUR",ROUND(VLOOKUP(MONTH(TableTemp[[#This Row],[Document Date]]),MExchange[],2,FALSE)*TableTemp[[#This Row],[Sales Local Currency]],2),ROUND(TableTemp[[#This Row],[Sales Local Currency]],2))</f>
        <v>1527.42</v>
      </c>
      <c r="N28" s="51">
        <f>IF(TableTemp[[#This Row],[Reject]]="",0,TableTemp[[#This Row],[Reject]]/SUMIF(TableTemp[Company],Map!$B$9,TableTemp[Quantity]))</f>
        <v>0</v>
      </c>
    </row>
    <row r="29" spans="1:14" x14ac:dyDescent="0.25">
      <c r="A29" s="7" t="s">
        <v>31</v>
      </c>
      <c r="B29">
        <v>88588</v>
      </c>
      <c r="C29" s="8">
        <v>43388</v>
      </c>
      <c r="D29">
        <v>8040</v>
      </c>
      <c r="E29">
        <v>103</v>
      </c>
      <c r="G29">
        <v>110</v>
      </c>
      <c r="H29">
        <v>1320</v>
      </c>
      <c r="I29" s="10" t="str">
        <f>VLOOKUP(A29,MCompany[],2,FALSE)</f>
        <v>Bere Kleid</v>
      </c>
      <c r="J29" s="10" t="str">
        <f>VLOOKUP(TableTemp[[#This Row],[Customer Code]],MCustomer[],2,FALSE)</f>
        <v>Werner Strauss</v>
      </c>
      <c r="K29" s="10" t="str">
        <f>VLOOKUP(TableTemp[[#This Row],[Article code]],MArticle[],2,FALSE)</f>
        <v>Women type T simple white</v>
      </c>
      <c r="L29" s="10" t="str">
        <f>VLOOKUP(TableTemp[[#This Row],[Company]],MCompany[],3,FALSE)</f>
        <v>EUR</v>
      </c>
      <c r="M29" s="15">
        <f>IF(TableTemp[[#This Row],[Currency]]="EUR",ROUND(VLOOKUP(MONTH(TableTemp[[#This Row],[Document Date]]),MExchange[],2,FALSE)*TableTemp[[#This Row],[Sales Local Currency]],2),ROUND(TableTemp[[#This Row],[Sales Local Currency]],2))</f>
        <v>1550.92</v>
      </c>
      <c r="N29" s="51">
        <f>IF(TableTemp[[#This Row],[Reject]]="",0,TableTemp[[#This Row],[Reject]]/SUMIF(TableTemp[Company],Map!$B$9,TableTemp[Quantity]))</f>
        <v>0</v>
      </c>
    </row>
    <row r="30" spans="1:14" x14ac:dyDescent="0.25">
      <c r="A30" s="7" t="s">
        <v>31</v>
      </c>
      <c r="B30">
        <v>88544</v>
      </c>
      <c r="C30" s="8">
        <v>43395</v>
      </c>
      <c r="D30">
        <v>8040</v>
      </c>
      <c r="E30">
        <v>107</v>
      </c>
      <c r="G30">
        <v>770</v>
      </c>
      <c r="H30">
        <v>3850</v>
      </c>
      <c r="I30" s="10" t="str">
        <f>VLOOKUP(A30,MCompany[],2,FALSE)</f>
        <v>Bere Kleid</v>
      </c>
      <c r="J30" s="10" t="str">
        <f>VLOOKUP(TableTemp[[#This Row],[Customer Code]],MCustomer[],2,FALSE)</f>
        <v>Werner Strauss</v>
      </c>
      <c r="K30" s="10" t="str">
        <f>VLOOKUP(TableTemp[[#This Row],[Article code]],MArticle[],2,FALSE)</f>
        <v>Women basics</v>
      </c>
      <c r="L30" s="10" t="str">
        <f>VLOOKUP(TableTemp[[#This Row],[Company]],MCompany[],3,FALSE)</f>
        <v>EUR</v>
      </c>
      <c r="M30" s="15">
        <f>IF(TableTemp[[#This Row],[Currency]]="EUR",ROUND(VLOOKUP(MONTH(TableTemp[[#This Row],[Document Date]]),MExchange[],2,FALSE)*TableTemp[[#This Row],[Sales Local Currency]],2),ROUND(TableTemp[[#This Row],[Sales Local Currency]],2))</f>
        <v>4523.5200000000004</v>
      </c>
      <c r="N30" s="51">
        <f>IF(TableTemp[[#This Row],[Reject]]="",0,TableTemp[[#This Row],[Reject]]/SUMIF(TableTemp[Company],Map!$B$9,TableTemp[Quantity]))</f>
        <v>0</v>
      </c>
    </row>
    <row r="31" spans="1:14" x14ac:dyDescent="0.25">
      <c r="A31" s="7" t="s">
        <v>31</v>
      </c>
      <c r="B31">
        <v>88544</v>
      </c>
      <c r="C31" s="8">
        <v>43395</v>
      </c>
      <c r="D31">
        <v>8040</v>
      </c>
      <c r="E31">
        <v>120</v>
      </c>
      <c r="G31">
        <v>300</v>
      </c>
      <c r="H31">
        <v>17400</v>
      </c>
      <c r="I31" s="10" t="str">
        <f>VLOOKUP(A31,MCompany[],2,FALSE)</f>
        <v>Bere Kleid</v>
      </c>
      <c r="J31" s="10" t="str">
        <f>VLOOKUP(TableTemp[[#This Row],[Customer Code]],MCustomer[],2,FALSE)</f>
        <v>Werner Strauss</v>
      </c>
      <c r="K31" s="10" t="str">
        <f>VLOOKUP(TableTemp[[#This Row],[Article code]],MArticle[],2,FALSE)</f>
        <v>Women evening dress Cocktail red</v>
      </c>
      <c r="L31" s="10" t="str">
        <f>VLOOKUP(TableTemp[[#This Row],[Company]],MCompany[],3,FALSE)</f>
        <v>EUR</v>
      </c>
      <c r="M31" s="15">
        <f>IF(TableTemp[[#This Row],[Currency]]="EUR",ROUND(VLOOKUP(MONTH(TableTemp[[#This Row],[Document Date]]),MExchange[],2,FALSE)*TableTemp[[#This Row],[Sales Local Currency]],2),ROUND(TableTemp[[#This Row],[Sales Local Currency]],2))</f>
        <v>20443.939999999999</v>
      </c>
      <c r="N31" s="51">
        <f>IF(TableTemp[[#This Row],[Reject]]="",0,TableTemp[[#This Row],[Reject]]/SUMIF(TableTemp[Company],Map!$B$9,TableTemp[Quantity]))</f>
        <v>0</v>
      </c>
    </row>
    <row r="32" spans="1:14" x14ac:dyDescent="0.25">
      <c r="A32" s="7" t="s">
        <v>31</v>
      </c>
      <c r="B32">
        <v>88666</v>
      </c>
      <c r="C32" s="8">
        <v>43399</v>
      </c>
      <c r="D32">
        <v>8030</v>
      </c>
      <c r="E32">
        <v>119</v>
      </c>
      <c r="G32">
        <v>330</v>
      </c>
      <c r="H32">
        <v>20460</v>
      </c>
      <c r="I32" s="10" t="str">
        <f>VLOOKUP(A32,MCompany[],2,FALSE)</f>
        <v>Bere Kleid</v>
      </c>
      <c r="J32" s="10" t="str">
        <f>VLOOKUP(TableTemp[[#This Row],[Customer Code]],MCustomer[],2,FALSE)</f>
        <v>Edson</v>
      </c>
      <c r="K32" s="10" t="str">
        <f>VLOOKUP(TableTemp[[#This Row],[Article code]],MArticle[],2,FALSE)</f>
        <v>Women evening dress long black</v>
      </c>
      <c r="L32" s="10" t="str">
        <f>VLOOKUP(TableTemp[[#This Row],[Company]],MCompany[],3,FALSE)</f>
        <v>EUR</v>
      </c>
      <c r="M32" s="15">
        <f>IF(TableTemp[[#This Row],[Currency]]="EUR",ROUND(VLOOKUP(MONTH(TableTemp[[#This Row],[Document Date]]),MExchange[],2,FALSE)*TableTemp[[#This Row],[Sales Local Currency]],2),ROUND(TableTemp[[#This Row],[Sales Local Currency]],2))</f>
        <v>24039.25</v>
      </c>
      <c r="N32" s="51">
        <f>IF(TableTemp[[#This Row],[Reject]]="",0,TableTemp[[#This Row],[Reject]]/SUMIF(TableTemp[Company],Map!$B$9,TableTemp[Quantity]))</f>
        <v>0</v>
      </c>
    </row>
    <row r="33" spans="1:14" x14ac:dyDescent="0.25">
      <c r="A33" s="7" t="s">
        <v>31</v>
      </c>
      <c r="B33">
        <v>88666</v>
      </c>
      <c r="C33" s="8">
        <v>43399</v>
      </c>
      <c r="D33">
        <v>8030</v>
      </c>
      <c r="E33">
        <v>107</v>
      </c>
      <c r="G33">
        <v>460</v>
      </c>
      <c r="H33">
        <v>2300</v>
      </c>
      <c r="I33" s="10" t="str">
        <f>VLOOKUP(A33,MCompany[],2,FALSE)</f>
        <v>Bere Kleid</v>
      </c>
      <c r="J33" s="10" t="str">
        <f>VLOOKUP(TableTemp[[#This Row],[Customer Code]],MCustomer[],2,FALSE)</f>
        <v>Edson</v>
      </c>
      <c r="K33" s="10" t="str">
        <f>VLOOKUP(TableTemp[[#This Row],[Article code]],MArticle[],2,FALSE)</f>
        <v>Women basics</v>
      </c>
      <c r="L33" s="10" t="str">
        <f>VLOOKUP(TableTemp[[#This Row],[Company]],MCompany[],3,FALSE)</f>
        <v>EUR</v>
      </c>
      <c r="M33" s="15">
        <f>IF(TableTemp[[#This Row],[Currency]]="EUR",ROUND(VLOOKUP(MONTH(TableTemp[[#This Row],[Document Date]]),MExchange[],2,FALSE)*TableTemp[[#This Row],[Sales Local Currency]],2),ROUND(TableTemp[[#This Row],[Sales Local Currency]],2))</f>
        <v>2702.36</v>
      </c>
      <c r="N33" s="51">
        <f>IF(TableTemp[[#This Row],[Reject]]="",0,TableTemp[[#This Row],[Reject]]/SUMIF(TableTemp[Company],Map!$B$9,TableTemp[Quantity]))</f>
        <v>0</v>
      </c>
    </row>
    <row r="34" spans="1:14" x14ac:dyDescent="0.25">
      <c r="A34" s="7" t="s">
        <v>31</v>
      </c>
      <c r="B34">
        <v>88666</v>
      </c>
      <c r="C34" s="8">
        <v>43399</v>
      </c>
      <c r="D34">
        <v>8030</v>
      </c>
      <c r="E34">
        <v>105</v>
      </c>
      <c r="F34">
        <v>1</v>
      </c>
      <c r="G34">
        <v>470</v>
      </c>
      <c r="H34">
        <v>4700</v>
      </c>
      <c r="I34" s="10" t="str">
        <f>VLOOKUP(A34,MCompany[],2,FALSE)</f>
        <v>Bere Kleid</v>
      </c>
      <c r="J34" s="10" t="str">
        <f>VLOOKUP(TableTemp[[#This Row],[Customer Code]],MCustomer[],2,FALSE)</f>
        <v>Edson</v>
      </c>
      <c r="K34" s="10" t="str">
        <f>VLOOKUP(TableTemp[[#This Row],[Article code]],MArticle[],2,FALSE)</f>
        <v>Women crop top black</v>
      </c>
      <c r="L34" s="10" t="str">
        <f>VLOOKUP(TableTemp[[#This Row],[Company]],MCompany[],3,FALSE)</f>
        <v>EUR</v>
      </c>
      <c r="M34" s="15">
        <f>IF(TableTemp[[#This Row],[Currency]]="EUR",ROUND(VLOOKUP(MONTH(TableTemp[[#This Row],[Document Date]]),MExchange[],2,FALSE)*TableTemp[[#This Row],[Sales Local Currency]],2),ROUND(TableTemp[[#This Row],[Sales Local Currency]],2))</f>
        <v>5522.21</v>
      </c>
      <c r="N34" s="51">
        <f>IF(TableTemp[[#This Row],[Reject]]="",0,TableTemp[[#This Row],[Reject]]/SUMIF(TableTemp[Company],Map!$B$9,TableTemp[Quantity]))</f>
        <v>1.6339869281045751E-4</v>
      </c>
    </row>
    <row r="35" spans="1:14" x14ac:dyDescent="0.25">
      <c r="A35" s="7" t="s">
        <v>31</v>
      </c>
      <c r="B35">
        <v>88666</v>
      </c>
      <c r="C35" s="8">
        <v>43399</v>
      </c>
      <c r="D35">
        <v>8030</v>
      </c>
      <c r="E35">
        <v>115</v>
      </c>
      <c r="G35">
        <v>390</v>
      </c>
      <c r="H35">
        <v>2340</v>
      </c>
      <c r="I35" s="10" t="str">
        <f>VLOOKUP(A35,MCompany[],2,FALSE)</f>
        <v>Bere Kleid</v>
      </c>
      <c r="J35" s="10" t="str">
        <f>VLOOKUP(TableTemp[[#This Row],[Customer Code]],MCustomer[],2,FALSE)</f>
        <v>Edson</v>
      </c>
      <c r="K35" s="10" t="str">
        <f>VLOOKUP(TableTemp[[#This Row],[Article code]],MArticle[],2,FALSE)</f>
        <v>Unisex tank top black</v>
      </c>
      <c r="L35" s="10" t="str">
        <f>VLOOKUP(TableTemp[[#This Row],[Company]],MCompany[],3,FALSE)</f>
        <v>EUR</v>
      </c>
      <c r="M35" s="15">
        <f>IF(TableTemp[[#This Row],[Currency]]="EUR",ROUND(VLOOKUP(MONTH(TableTemp[[#This Row],[Document Date]]),MExchange[],2,FALSE)*TableTemp[[#This Row],[Sales Local Currency]],2),ROUND(TableTemp[[#This Row],[Sales Local Currency]],2))</f>
        <v>2749.36</v>
      </c>
      <c r="N35" s="51">
        <f>IF(TableTemp[[#This Row],[Reject]]="",0,TableTemp[[#This Row],[Reject]]/SUMIF(TableTemp[Company],Map!$B$9,TableTemp[Quantity]))</f>
        <v>0</v>
      </c>
    </row>
    <row r="36" spans="1:14" x14ac:dyDescent="0.25">
      <c r="A36" s="7" t="s">
        <v>31</v>
      </c>
      <c r="B36">
        <v>88666</v>
      </c>
      <c r="C36" s="8">
        <v>43399</v>
      </c>
      <c r="D36">
        <v>8030</v>
      </c>
      <c r="E36">
        <v>116</v>
      </c>
      <c r="G36">
        <v>260</v>
      </c>
      <c r="H36">
        <v>1560</v>
      </c>
      <c r="I36" s="10" t="str">
        <f>VLOOKUP(A36,MCompany[],2,FALSE)</f>
        <v>Bere Kleid</v>
      </c>
      <c r="J36" s="10" t="str">
        <f>VLOOKUP(TableTemp[[#This Row],[Customer Code]],MCustomer[],2,FALSE)</f>
        <v>Edson</v>
      </c>
      <c r="K36" s="10" t="str">
        <f>VLOOKUP(TableTemp[[#This Row],[Article code]],MArticle[],2,FALSE)</f>
        <v>Unisex tank top white</v>
      </c>
      <c r="L36" s="10" t="str">
        <f>VLOOKUP(TableTemp[[#This Row],[Company]],MCompany[],3,FALSE)</f>
        <v>EUR</v>
      </c>
      <c r="M36" s="15">
        <f>IF(TableTemp[[#This Row],[Currency]]="EUR",ROUND(VLOOKUP(MONTH(TableTemp[[#This Row],[Document Date]]),MExchange[],2,FALSE)*TableTemp[[#This Row],[Sales Local Currency]],2),ROUND(TableTemp[[#This Row],[Sales Local Currency]],2))</f>
        <v>1832.9</v>
      </c>
      <c r="N36" s="51">
        <f>IF(TableTemp[[#This Row],[Reject]]="",0,TableTemp[[#This Row],[Reject]]/SUMIF(TableTemp[Company],Map!$B$9,TableTemp[Quantity]))</f>
        <v>0</v>
      </c>
    </row>
    <row r="37" spans="1:14" x14ac:dyDescent="0.25">
      <c r="A37" s="7" t="s">
        <v>32</v>
      </c>
      <c r="B37">
        <v>44030</v>
      </c>
      <c r="C37" s="8">
        <v>43377</v>
      </c>
      <c r="D37">
        <v>8060</v>
      </c>
      <c r="E37">
        <v>108</v>
      </c>
      <c r="F37" t="s">
        <v>2</v>
      </c>
      <c r="G37">
        <v>60</v>
      </c>
      <c r="H37">
        <v>1680</v>
      </c>
      <c r="I37" s="10" t="str">
        <f>VLOOKUP(A37,MCompany[],2,FALSE)</f>
        <v>Lucas Basics</v>
      </c>
      <c r="J37" s="10" t="str">
        <f>VLOOKUP(TableTemp[[#This Row],[Customer Code]],MCustomer[],2,FALSE)</f>
        <v>Liebher</v>
      </c>
      <c r="K37" s="10" t="str">
        <f>VLOOKUP(TableTemp[[#This Row],[Article code]],MArticle[],2,FALSE)</f>
        <v>Laptop bag black</v>
      </c>
      <c r="L37" s="10" t="str">
        <f>VLOOKUP(TableTemp[[#This Row],[Company]],MCompany[],3,FALSE)</f>
        <v>EUR</v>
      </c>
      <c r="M37" s="15">
        <f>IF(TableTemp[[#This Row],[Currency]]="EUR",ROUND(VLOOKUP(MONTH(TableTemp[[#This Row],[Document Date]]),MExchange[],2,FALSE)*TableTemp[[#This Row],[Sales Local Currency]],2),ROUND(TableTemp[[#This Row],[Sales Local Currency]],2))</f>
        <v>1973.9</v>
      </c>
      <c r="N37" s="52">
        <f>IF(TableTemp[[#This Row],[Reject]]="",0,TableTemp[[#This Row],[Reject]]/SUMIF(TableTemp[Company],Map!$B$9,TableTemp[Quantity]))</f>
        <v>0</v>
      </c>
    </row>
    <row r="38" spans="1:14" x14ac:dyDescent="0.25">
      <c r="A38" s="7" t="s">
        <v>32</v>
      </c>
      <c r="B38">
        <v>44030</v>
      </c>
      <c r="C38" s="8">
        <v>43377</v>
      </c>
      <c r="D38">
        <v>8060</v>
      </c>
      <c r="E38">
        <v>109</v>
      </c>
      <c r="F38">
        <v>1</v>
      </c>
      <c r="G38">
        <v>60</v>
      </c>
      <c r="H38">
        <v>1680</v>
      </c>
      <c r="I38" s="10" t="str">
        <f>VLOOKUP(A38,MCompany[],2,FALSE)</f>
        <v>Lucas Basics</v>
      </c>
      <c r="J38" s="10" t="str">
        <f>VLOOKUP(TableTemp[[#This Row],[Customer Code]],MCustomer[],2,FALSE)</f>
        <v>Liebher</v>
      </c>
      <c r="K38" s="10" t="str">
        <f>VLOOKUP(TableTemp[[#This Row],[Article code]],MArticle[],2,FALSE)</f>
        <v>Laptop bag red</v>
      </c>
      <c r="L38" s="10" t="str">
        <f>VLOOKUP(TableTemp[[#This Row],[Company]],MCompany[],3,FALSE)</f>
        <v>EUR</v>
      </c>
      <c r="M38" s="15">
        <f>IF(TableTemp[[#This Row],[Currency]]="EUR",ROUND(VLOOKUP(MONTH(TableTemp[[#This Row],[Document Date]]),MExchange[],2,FALSE)*TableTemp[[#This Row],[Sales Local Currency]],2),ROUND(TableTemp[[#This Row],[Sales Local Currency]],2))</f>
        <v>1973.9</v>
      </c>
      <c r="N38" s="52">
        <f>IF(TableTemp[[#This Row],[Reject]]="",0,TableTemp[[#This Row],[Reject]]/SUMIF(TableTemp[Company],Map!$B$9,TableTemp[Quantity]))</f>
        <v>1.6339869281045751E-4</v>
      </c>
    </row>
    <row r="39" spans="1:14" x14ac:dyDescent="0.25">
      <c r="A39" s="7" t="s">
        <v>32</v>
      </c>
      <c r="B39">
        <v>44032</v>
      </c>
      <c r="C39" s="8">
        <v>43380</v>
      </c>
      <c r="D39">
        <v>8060</v>
      </c>
      <c r="E39">
        <v>108</v>
      </c>
      <c r="F39" t="s">
        <v>2</v>
      </c>
      <c r="G39">
        <v>60</v>
      </c>
      <c r="H39">
        <v>1680</v>
      </c>
      <c r="I39" s="10" t="str">
        <f>VLOOKUP(A39,MCompany[],2,FALSE)</f>
        <v>Lucas Basics</v>
      </c>
      <c r="J39" s="10" t="str">
        <f>VLOOKUP(TableTemp[[#This Row],[Customer Code]],MCustomer[],2,FALSE)</f>
        <v>Liebher</v>
      </c>
      <c r="K39" s="10" t="str">
        <f>VLOOKUP(TableTemp[[#This Row],[Article code]],MArticle[],2,FALSE)</f>
        <v>Laptop bag black</v>
      </c>
      <c r="L39" s="10" t="str">
        <f>VLOOKUP(TableTemp[[#This Row],[Company]],MCompany[],3,FALSE)</f>
        <v>EUR</v>
      </c>
      <c r="M39" s="15">
        <f>IF(TableTemp[[#This Row],[Currency]]="EUR",ROUND(VLOOKUP(MONTH(TableTemp[[#This Row],[Document Date]]),MExchange[],2,FALSE)*TableTemp[[#This Row],[Sales Local Currency]],2),ROUND(TableTemp[[#This Row],[Sales Local Currency]],2))</f>
        <v>1973.9</v>
      </c>
      <c r="N39" s="52">
        <f>IF(TableTemp[[#This Row],[Reject]]="",0,TableTemp[[#This Row],[Reject]]/SUMIF(TableTemp[Company],Map!$B$9,TableTemp[Quantity]))</f>
        <v>0</v>
      </c>
    </row>
    <row r="40" spans="1:14" x14ac:dyDescent="0.25">
      <c r="A40" s="7" t="s">
        <v>32</v>
      </c>
      <c r="B40">
        <v>44032</v>
      </c>
      <c r="C40" s="8">
        <v>43380</v>
      </c>
      <c r="D40">
        <v>8060</v>
      </c>
      <c r="E40">
        <v>109</v>
      </c>
      <c r="G40">
        <v>70</v>
      </c>
      <c r="H40">
        <v>1960</v>
      </c>
      <c r="I40" s="10" t="str">
        <f>VLOOKUP(A40,MCompany[],2,FALSE)</f>
        <v>Lucas Basics</v>
      </c>
      <c r="J40" s="10" t="str">
        <f>VLOOKUP(TableTemp[[#This Row],[Customer Code]],MCustomer[],2,FALSE)</f>
        <v>Liebher</v>
      </c>
      <c r="K40" s="10" t="str">
        <f>VLOOKUP(TableTemp[[#This Row],[Article code]],MArticle[],2,FALSE)</f>
        <v>Laptop bag red</v>
      </c>
      <c r="L40" s="10" t="str">
        <f>VLOOKUP(TableTemp[[#This Row],[Company]],MCompany[],3,FALSE)</f>
        <v>EUR</v>
      </c>
      <c r="M40" s="15">
        <f>IF(TableTemp[[#This Row],[Currency]]="EUR",ROUND(VLOOKUP(MONTH(TableTemp[[#This Row],[Document Date]]),MExchange[],2,FALSE)*TableTemp[[#This Row],[Sales Local Currency]],2),ROUND(TableTemp[[#This Row],[Sales Local Currency]],2))</f>
        <v>2302.88</v>
      </c>
      <c r="N40" s="52">
        <f>IF(TableTemp[[#This Row],[Reject]]="",0,TableTemp[[#This Row],[Reject]]/SUMIF(TableTemp[Company],Map!$B$9,TableTemp[Quantity]))</f>
        <v>0</v>
      </c>
    </row>
    <row r="41" spans="1:14" x14ac:dyDescent="0.25">
      <c r="A41" s="7" t="s">
        <v>32</v>
      </c>
      <c r="B41">
        <v>44031</v>
      </c>
      <c r="C41" s="8">
        <v>43381</v>
      </c>
      <c r="D41">
        <v>8050</v>
      </c>
      <c r="E41">
        <v>108</v>
      </c>
      <c r="F41" t="s">
        <v>2</v>
      </c>
      <c r="G41">
        <v>60</v>
      </c>
      <c r="H41">
        <v>1680</v>
      </c>
      <c r="I41" s="10" t="str">
        <f>VLOOKUP(A41,MCompany[],2,FALSE)</f>
        <v>Lucas Basics</v>
      </c>
      <c r="J41" s="10" t="str">
        <f>VLOOKUP(TableTemp[[#This Row],[Customer Code]],MCustomer[],2,FALSE)</f>
        <v>Aida GmbH</v>
      </c>
      <c r="K41" s="10" t="str">
        <f>VLOOKUP(TableTemp[[#This Row],[Article code]],MArticle[],2,FALSE)</f>
        <v>Laptop bag black</v>
      </c>
      <c r="L41" s="10" t="str">
        <f>VLOOKUP(TableTemp[[#This Row],[Company]],MCompany[],3,FALSE)</f>
        <v>EUR</v>
      </c>
      <c r="M41" s="15">
        <f>IF(TableTemp[[#This Row],[Currency]]="EUR",ROUND(VLOOKUP(MONTH(TableTemp[[#This Row],[Document Date]]),MExchange[],2,FALSE)*TableTemp[[#This Row],[Sales Local Currency]],2),ROUND(TableTemp[[#This Row],[Sales Local Currency]],2))</f>
        <v>1973.9</v>
      </c>
      <c r="N41" s="52">
        <f>IF(TableTemp[[#This Row],[Reject]]="",0,TableTemp[[#This Row],[Reject]]/SUMIF(TableTemp[Company],Map!$B$9,TableTemp[Quantity]))</f>
        <v>0</v>
      </c>
    </row>
    <row r="42" spans="1:14" x14ac:dyDescent="0.25">
      <c r="A42" s="7" t="s">
        <v>32</v>
      </c>
      <c r="B42">
        <v>44031</v>
      </c>
      <c r="C42" s="8">
        <v>43381</v>
      </c>
      <c r="D42">
        <v>8050</v>
      </c>
      <c r="E42">
        <v>109</v>
      </c>
      <c r="F42" t="s">
        <v>2</v>
      </c>
      <c r="G42">
        <v>50</v>
      </c>
      <c r="H42">
        <v>1400</v>
      </c>
      <c r="I42" s="10" t="str">
        <f>VLOOKUP(A42,MCompany[],2,FALSE)</f>
        <v>Lucas Basics</v>
      </c>
      <c r="J42" s="10" t="str">
        <f>VLOOKUP(TableTemp[[#This Row],[Customer Code]],MCustomer[],2,FALSE)</f>
        <v>Aida GmbH</v>
      </c>
      <c r="K42" s="10" t="str">
        <f>VLOOKUP(TableTemp[[#This Row],[Article code]],MArticle[],2,FALSE)</f>
        <v>Laptop bag red</v>
      </c>
      <c r="L42" s="10" t="str">
        <f>VLOOKUP(TableTemp[[#This Row],[Company]],MCompany[],3,FALSE)</f>
        <v>EUR</v>
      </c>
      <c r="M42" s="15">
        <f>IF(TableTemp[[#This Row],[Currency]]="EUR",ROUND(VLOOKUP(MONTH(TableTemp[[#This Row],[Document Date]]),MExchange[],2,FALSE)*TableTemp[[#This Row],[Sales Local Currency]],2),ROUND(TableTemp[[#This Row],[Sales Local Currency]],2))</f>
        <v>1644.91</v>
      </c>
      <c r="N42" s="52">
        <f>IF(TableTemp[[#This Row],[Reject]]="",0,TableTemp[[#This Row],[Reject]]/SUMIF(TableTemp[Company],Map!$B$9,TableTemp[Quantity]))</f>
        <v>0</v>
      </c>
    </row>
    <row r="43" spans="1:14" x14ac:dyDescent="0.25">
      <c r="A43" s="7" t="s">
        <v>32</v>
      </c>
      <c r="B43">
        <v>44031</v>
      </c>
      <c r="C43" s="8">
        <v>43381</v>
      </c>
      <c r="D43">
        <v>8050</v>
      </c>
      <c r="E43">
        <v>110</v>
      </c>
      <c r="F43" t="s">
        <v>2</v>
      </c>
      <c r="G43">
        <v>60</v>
      </c>
      <c r="H43">
        <v>3600</v>
      </c>
      <c r="I43" s="10" t="str">
        <f>VLOOKUP(A43,MCompany[],2,FALSE)</f>
        <v>Lucas Basics</v>
      </c>
      <c r="J43" s="10" t="str">
        <f>VLOOKUP(TableTemp[[#This Row],[Customer Code]],MCustomer[],2,FALSE)</f>
        <v>Aida GmbH</v>
      </c>
      <c r="K43" s="10" t="str">
        <f>VLOOKUP(TableTemp[[#This Row],[Article code]],MArticle[],2,FALSE)</f>
        <v>Smartphone case diamond</v>
      </c>
      <c r="L43" s="10" t="str">
        <f>VLOOKUP(TableTemp[[#This Row],[Company]],MCompany[],3,FALSE)</f>
        <v>EUR</v>
      </c>
      <c r="M43" s="15">
        <f>IF(TableTemp[[#This Row],[Currency]]="EUR",ROUND(VLOOKUP(MONTH(TableTemp[[#This Row],[Document Date]]),MExchange[],2,FALSE)*TableTemp[[#This Row],[Sales Local Currency]],2),ROUND(TableTemp[[#This Row],[Sales Local Currency]],2))</f>
        <v>4229.78</v>
      </c>
      <c r="N43" s="52">
        <f>IF(TableTemp[[#This Row],[Reject]]="",0,TableTemp[[#This Row],[Reject]]/SUMIF(TableTemp[Company],Map!$B$9,TableTemp[Quantity]))</f>
        <v>0</v>
      </c>
    </row>
    <row r="44" spans="1:14" x14ac:dyDescent="0.25">
      <c r="A44" s="7" t="s">
        <v>32</v>
      </c>
      <c r="B44">
        <v>48112</v>
      </c>
      <c r="C44" s="8">
        <v>43384</v>
      </c>
      <c r="D44">
        <v>8060</v>
      </c>
      <c r="E44">
        <v>109</v>
      </c>
      <c r="G44">
        <v>60</v>
      </c>
      <c r="H44">
        <v>1680</v>
      </c>
      <c r="I44" s="10" t="str">
        <f>VLOOKUP(A44,MCompany[],2,FALSE)</f>
        <v>Lucas Basics</v>
      </c>
      <c r="J44" s="10" t="str">
        <f>VLOOKUP(TableTemp[[#This Row],[Customer Code]],MCustomer[],2,FALSE)</f>
        <v>Liebher</v>
      </c>
      <c r="K44" s="10" t="str">
        <f>VLOOKUP(TableTemp[[#This Row],[Article code]],MArticle[],2,FALSE)</f>
        <v>Laptop bag red</v>
      </c>
      <c r="L44" s="10" t="str">
        <f>VLOOKUP(TableTemp[[#This Row],[Company]],MCompany[],3,FALSE)</f>
        <v>EUR</v>
      </c>
      <c r="M44" s="15">
        <f>IF(TableTemp[[#This Row],[Currency]]="EUR",ROUND(VLOOKUP(MONTH(TableTemp[[#This Row],[Document Date]]),MExchange[],2,FALSE)*TableTemp[[#This Row],[Sales Local Currency]],2),ROUND(TableTemp[[#This Row],[Sales Local Currency]],2))</f>
        <v>1973.9</v>
      </c>
      <c r="N44" s="52">
        <f>IF(TableTemp[[#This Row],[Reject]]="",0,TableTemp[[#This Row],[Reject]]/SUMIF(TableTemp[Company],Map!$B$9,TableTemp[Quantity]))</f>
        <v>0</v>
      </c>
    </row>
    <row r="45" spans="1:14" x14ac:dyDescent="0.25">
      <c r="A45" s="7" t="s">
        <v>32</v>
      </c>
      <c r="B45">
        <v>48112</v>
      </c>
      <c r="C45" s="8">
        <v>43384</v>
      </c>
      <c r="D45">
        <v>8060</v>
      </c>
      <c r="E45">
        <v>110</v>
      </c>
      <c r="F45" t="s">
        <v>2</v>
      </c>
      <c r="G45">
        <v>50</v>
      </c>
      <c r="H45">
        <v>3000</v>
      </c>
      <c r="I45" s="10" t="str">
        <f>VLOOKUP(A45,MCompany[],2,FALSE)</f>
        <v>Lucas Basics</v>
      </c>
      <c r="J45" s="10" t="str">
        <f>VLOOKUP(TableTemp[[#This Row],[Customer Code]],MCustomer[],2,FALSE)</f>
        <v>Liebher</v>
      </c>
      <c r="K45" s="10" t="str">
        <f>VLOOKUP(TableTemp[[#This Row],[Article code]],MArticle[],2,FALSE)</f>
        <v>Smartphone case diamond</v>
      </c>
      <c r="L45" s="10" t="str">
        <f>VLOOKUP(TableTemp[[#This Row],[Company]],MCompany[],3,FALSE)</f>
        <v>EUR</v>
      </c>
      <c r="M45" s="15">
        <f>IF(TableTemp[[#This Row],[Currency]]="EUR",ROUND(VLOOKUP(MONTH(TableTemp[[#This Row],[Document Date]]),MExchange[],2,FALSE)*TableTemp[[#This Row],[Sales Local Currency]],2),ROUND(TableTemp[[#This Row],[Sales Local Currency]],2))</f>
        <v>3524.82</v>
      </c>
      <c r="N45" s="52">
        <f>IF(TableTemp[[#This Row],[Reject]]="",0,TableTemp[[#This Row],[Reject]]/SUMIF(TableTemp[Company],Map!$B$9,TableTemp[Quantity]))</f>
        <v>0</v>
      </c>
    </row>
    <row r="46" spans="1:14" x14ac:dyDescent="0.25">
      <c r="A46" s="7" t="s">
        <v>32</v>
      </c>
      <c r="B46">
        <v>48114</v>
      </c>
      <c r="C46" s="8">
        <v>43384</v>
      </c>
      <c r="D46">
        <v>8050</v>
      </c>
      <c r="E46">
        <v>109</v>
      </c>
      <c r="G46">
        <v>60</v>
      </c>
      <c r="H46">
        <v>1680</v>
      </c>
      <c r="I46" s="10" t="str">
        <f>VLOOKUP(A46,MCompany[],2,FALSE)</f>
        <v>Lucas Basics</v>
      </c>
      <c r="J46" s="10" t="str">
        <f>VLOOKUP(TableTemp[[#This Row],[Customer Code]],MCustomer[],2,FALSE)</f>
        <v>Aida GmbH</v>
      </c>
      <c r="K46" s="10" t="str">
        <f>VLOOKUP(TableTemp[[#This Row],[Article code]],MArticle[],2,FALSE)</f>
        <v>Laptop bag red</v>
      </c>
      <c r="L46" s="10" t="str">
        <f>VLOOKUP(TableTemp[[#This Row],[Company]],MCompany[],3,FALSE)</f>
        <v>EUR</v>
      </c>
      <c r="M46" s="15">
        <f>IF(TableTemp[[#This Row],[Currency]]="EUR",ROUND(VLOOKUP(MONTH(TableTemp[[#This Row],[Document Date]]),MExchange[],2,FALSE)*TableTemp[[#This Row],[Sales Local Currency]],2),ROUND(TableTemp[[#This Row],[Sales Local Currency]],2))</f>
        <v>1973.9</v>
      </c>
      <c r="N46" s="52">
        <f>IF(TableTemp[[#This Row],[Reject]]="",0,TableTemp[[#This Row],[Reject]]/SUMIF(TableTemp[Company],Map!$B$9,TableTemp[Quantity]))</f>
        <v>0</v>
      </c>
    </row>
    <row r="47" spans="1:14" x14ac:dyDescent="0.25">
      <c r="A47" s="7" t="s">
        <v>32</v>
      </c>
      <c r="B47">
        <v>48114</v>
      </c>
      <c r="C47" s="8">
        <v>43384</v>
      </c>
      <c r="D47">
        <v>8050</v>
      </c>
      <c r="E47">
        <v>110</v>
      </c>
      <c r="G47">
        <v>60</v>
      </c>
      <c r="H47">
        <v>3600</v>
      </c>
      <c r="I47" s="10" t="str">
        <f>VLOOKUP(A47,MCompany[],2,FALSE)</f>
        <v>Lucas Basics</v>
      </c>
      <c r="J47" s="10" t="str">
        <f>VLOOKUP(TableTemp[[#This Row],[Customer Code]],MCustomer[],2,FALSE)</f>
        <v>Aida GmbH</v>
      </c>
      <c r="K47" s="10" t="str">
        <f>VLOOKUP(TableTemp[[#This Row],[Article code]],MArticle[],2,FALSE)</f>
        <v>Smartphone case diamond</v>
      </c>
      <c r="L47" s="10" t="str">
        <f>VLOOKUP(TableTemp[[#This Row],[Company]],MCompany[],3,FALSE)</f>
        <v>EUR</v>
      </c>
      <c r="M47" s="15">
        <f>IF(TableTemp[[#This Row],[Currency]]="EUR",ROUND(VLOOKUP(MONTH(TableTemp[[#This Row],[Document Date]]),MExchange[],2,FALSE)*TableTemp[[#This Row],[Sales Local Currency]],2),ROUND(TableTemp[[#This Row],[Sales Local Currency]],2))</f>
        <v>4229.78</v>
      </c>
      <c r="N47" s="52">
        <f>IF(TableTemp[[#This Row],[Reject]]="",0,TableTemp[[#This Row],[Reject]]/SUMIF(TableTemp[Company],Map!$B$9,TableTemp[Quantity]))</f>
        <v>0</v>
      </c>
    </row>
    <row r="48" spans="1:14" x14ac:dyDescent="0.25">
      <c r="A48" s="7" t="s">
        <v>32</v>
      </c>
      <c r="B48">
        <v>48114</v>
      </c>
      <c r="C48" s="8">
        <v>43384</v>
      </c>
      <c r="D48">
        <v>8050</v>
      </c>
      <c r="E48">
        <v>111</v>
      </c>
      <c r="G48">
        <v>80</v>
      </c>
      <c r="H48">
        <v>1600</v>
      </c>
      <c r="I48" s="10" t="str">
        <f>VLOOKUP(A48,MCompany[],2,FALSE)</f>
        <v>Lucas Basics</v>
      </c>
      <c r="J48" s="10" t="str">
        <f>VLOOKUP(TableTemp[[#This Row],[Customer Code]],MCustomer[],2,FALSE)</f>
        <v>Aida GmbH</v>
      </c>
      <c r="K48" s="10" t="str">
        <f>VLOOKUP(TableTemp[[#This Row],[Article code]],MArticle[],2,FALSE)</f>
        <v>Smartphone case simple</v>
      </c>
      <c r="L48" s="10" t="str">
        <f>VLOOKUP(TableTemp[[#This Row],[Company]],MCompany[],3,FALSE)</f>
        <v>EUR</v>
      </c>
      <c r="M48" s="15">
        <f>IF(TableTemp[[#This Row],[Currency]]="EUR",ROUND(VLOOKUP(MONTH(TableTemp[[#This Row],[Document Date]]),MExchange[],2,FALSE)*TableTemp[[#This Row],[Sales Local Currency]],2),ROUND(TableTemp[[#This Row],[Sales Local Currency]],2))</f>
        <v>1879.9</v>
      </c>
      <c r="N48" s="52">
        <f>IF(TableTemp[[#This Row],[Reject]]="",0,TableTemp[[#This Row],[Reject]]/SUMIF(TableTemp[Company],Map!$B$9,TableTemp[Quantity]))</f>
        <v>0</v>
      </c>
    </row>
    <row r="49" spans="1:14" x14ac:dyDescent="0.25">
      <c r="A49" s="7" t="s">
        <v>32</v>
      </c>
      <c r="B49">
        <v>48116</v>
      </c>
      <c r="C49" s="8">
        <v>43384</v>
      </c>
      <c r="D49">
        <v>8060</v>
      </c>
      <c r="E49">
        <v>109</v>
      </c>
      <c r="G49">
        <v>60</v>
      </c>
      <c r="H49">
        <v>1680</v>
      </c>
      <c r="I49" s="10" t="str">
        <f>VLOOKUP(A49,MCompany[],2,FALSE)</f>
        <v>Lucas Basics</v>
      </c>
      <c r="J49" s="10" t="str">
        <f>VLOOKUP(TableTemp[[#This Row],[Customer Code]],MCustomer[],2,FALSE)</f>
        <v>Liebher</v>
      </c>
      <c r="K49" s="10" t="str">
        <f>VLOOKUP(TableTemp[[#This Row],[Article code]],MArticle[],2,FALSE)</f>
        <v>Laptop bag red</v>
      </c>
      <c r="L49" s="10" t="str">
        <f>VLOOKUP(TableTemp[[#This Row],[Company]],MCompany[],3,FALSE)</f>
        <v>EUR</v>
      </c>
      <c r="M49" s="15">
        <f>IF(TableTemp[[#This Row],[Currency]]="EUR",ROUND(VLOOKUP(MONTH(TableTemp[[#This Row],[Document Date]]),MExchange[],2,FALSE)*TableTemp[[#This Row],[Sales Local Currency]],2),ROUND(TableTemp[[#This Row],[Sales Local Currency]],2))</f>
        <v>1973.9</v>
      </c>
      <c r="N49" s="52">
        <f>IF(TableTemp[[#This Row],[Reject]]="",0,TableTemp[[#This Row],[Reject]]/SUMIF(TableTemp[Company],Map!$B$9,TableTemp[Quantity]))</f>
        <v>0</v>
      </c>
    </row>
    <row r="50" spans="1:14" x14ac:dyDescent="0.25">
      <c r="A50" s="7" t="s">
        <v>32</v>
      </c>
      <c r="B50">
        <v>48116</v>
      </c>
      <c r="C50" s="8">
        <v>43384</v>
      </c>
      <c r="D50">
        <v>8060</v>
      </c>
      <c r="E50">
        <v>110</v>
      </c>
      <c r="G50">
        <v>60</v>
      </c>
      <c r="H50">
        <v>3600</v>
      </c>
      <c r="I50" s="10" t="str">
        <f>VLOOKUP(A50,MCompany[],2,FALSE)</f>
        <v>Lucas Basics</v>
      </c>
      <c r="J50" s="10" t="str">
        <f>VLOOKUP(TableTemp[[#This Row],[Customer Code]],MCustomer[],2,FALSE)</f>
        <v>Liebher</v>
      </c>
      <c r="K50" s="10" t="str">
        <f>VLOOKUP(TableTemp[[#This Row],[Article code]],MArticle[],2,FALSE)</f>
        <v>Smartphone case diamond</v>
      </c>
      <c r="L50" s="10" t="str">
        <f>VLOOKUP(TableTemp[[#This Row],[Company]],MCompany[],3,FALSE)</f>
        <v>EUR</v>
      </c>
      <c r="M50" s="15">
        <f>IF(TableTemp[[#This Row],[Currency]]="EUR",ROUND(VLOOKUP(MONTH(TableTemp[[#This Row],[Document Date]]),MExchange[],2,FALSE)*TableTemp[[#This Row],[Sales Local Currency]],2),ROUND(TableTemp[[#This Row],[Sales Local Currency]],2))</f>
        <v>4229.78</v>
      </c>
      <c r="N50" s="52">
        <f>IF(TableTemp[[#This Row],[Reject]]="",0,TableTemp[[#This Row],[Reject]]/SUMIF(TableTemp[Company],Map!$B$9,TableTemp[Quantity]))</f>
        <v>0</v>
      </c>
    </row>
    <row r="51" spans="1:14" x14ac:dyDescent="0.25">
      <c r="A51" s="7" t="s">
        <v>32</v>
      </c>
      <c r="B51">
        <v>45442</v>
      </c>
      <c r="C51" s="8">
        <v>43388</v>
      </c>
      <c r="D51">
        <v>8050</v>
      </c>
      <c r="E51">
        <v>108</v>
      </c>
      <c r="G51">
        <v>50</v>
      </c>
      <c r="H51">
        <v>1400</v>
      </c>
      <c r="I51" s="10" t="str">
        <f>VLOOKUP(A51,MCompany[],2,FALSE)</f>
        <v>Lucas Basics</v>
      </c>
      <c r="J51" s="10" t="str">
        <f>VLOOKUP(TableTemp[[#This Row],[Customer Code]],MCustomer[],2,FALSE)</f>
        <v>Aida GmbH</v>
      </c>
      <c r="K51" s="10" t="str">
        <f>VLOOKUP(TableTemp[[#This Row],[Article code]],MArticle[],2,FALSE)</f>
        <v>Laptop bag black</v>
      </c>
      <c r="L51" s="10" t="str">
        <f>VLOOKUP(TableTemp[[#This Row],[Company]],MCompany[],3,FALSE)</f>
        <v>EUR</v>
      </c>
      <c r="M51" s="15">
        <f>IF(TableTemp[[#This Row],[Currency]]="EUR",ROUND(VLOOKUP(MONTH(TableTemp[[#This Row],[Document Date]]),MExchange[],2,FALSE)*TableTemp[[#This Row],[Sales Local Currency]],2),ROUND(TableTemp[[#This Row],[Sales Local Currency]],2))</f>
        <v>1644.91</v>
      </c>
      <c r="N51" s="52">
        <f>IF(TableTemp[[#This Row],[Reject]]="",0,TableTemp[[#This Row],[Reject]]/SUMIF(TableTemp[Company],Map!$B$9,TableTemp[Quantity]))</f>
        <v>0</v>
      </c>
    </row>
    <row r="52" spans="1:14" x14ac:dyDescent="0.25">
      <c r="A52" s="7" t="s">
        <v>32</v>
      </c>
      <c r="B52">
        <v>45442</v>
      </c>
      <c r="C52" s="8">
        <v>43388</v>
      </c>
      <c r="D52">
        <v>8050</v>
      </c>
      <c r="E52">
        <v>109</v>
      </c>
      <c r="F52">
        <v>1</v>
      </c>
      <c r="G52">
        <v>60</v>
      </c>
      <c r="H52">
        <v>1680</v>
      </c>
      <c r="I52" s="10" t="str">
        <f>VLOOKUP(A52,MCompany[],2,FALSE)</f>
        <v>Lucas Basics</v>
      </c>
      <c r="J52" s="10" t="str">
        <f>VLOOKUP(TableTemp[[#This Row],[Customer Code]],MCustomer[],2,FALSE)</f>
        <v>Aida GmbH</v>
      </c>
      <c r="K52" s="10" t="str">
        <f>VLOOKUP(TableTemp[[#This Row],[Article code]],MArticle[],2,FALSE)</f>
        <v>Laptop bag red</v>
      </c>
      <c r="L52" s="10" t="str">
        <f>VLOOKUP(TableTemp[[#This Row],[Company]],MCompany[],3,FALSE)</f>
        <v>EUR</v>
      </c>
      <c r="M52" s="15">
        <f>IF(TableTemp[[#This Row],[Currency]]="EUR",ROUND(VLOOKUP(MONTH(TableTemp[[#This Row],[Document Date]]),MExchange[],2,FALSE)*TableTemp[[#This Row],[Sales Local Currency]],2),ROUND(TableTemp[[#This Row],[Sales Local Currency]],2))</f>
        <v>1973.9</v>
      </c>
      <c r="N52" s="52">
        <f>IF(TableTemp[[#This Row],[Reject]]="",0,TableTemp[[#This Row],[Reject]]/SUMIF(TableTemp[Company],Map!$B$9,TableTemp[Quantity]))</f>
        <v>1.6339869281045751E-4</v>
      </c>
    </row>
    <row r="53" spans="1:14" x14ac:dyDescent="0.25">
      <c r="A53" s="7" t="s">
        <v>32</v>
      </c>
      <c r="B53">
        <v>45444</v>
      </c>
      <c r="C53" s="8">
        <v>43388</v>
      </c>
      <c r="D53">
        <v>8060</v>
      </c>
      <c r="E53">
        <v>108</v>
      </c>
      <c r="G53">
        <v>60</v>
      </c>
      <c r="H53">
        <v>1680</v>
      </c>
      <c r="I53" s="10" t="str">
        <f>VLOOKUP(A53,MCompany[],2,FALSE)</f>
        <v>Lucas Basics</v>
      </c>
      <c r="J53" s="10" t="str">
        <f>VLOOKUP(TableTemp[[#This Row],[Customer Code]],MCustomer[],2,FALSE)</f>
        <v>Liebher</v>
      </c>
      <c r="K53" s="10" t="str">
        <f>VLOOKUP(TableTemp[[#This Row],[Article code]],MArticle[],2,FALSE)</f>
        <v>Laptop bag black</v>
      </c>
      <c r="L53" s="10" t="str">
        <f>VLOOKUP(TableTemp[[#This Row],[Company]],MCompany[],3,FALSE)</f>
        <v>EUR</v>
      </c>
      <c r="M53" s="15">
        <f>IF(TableTemp[[#This Row],[Currency]]="EUR",ROUND(VLOOKUP(MONTH(TableTemp[[#This Row],[Document Date]]),MExchange[],2,FALSE)*TableTemp[[#This Row],[Sales Local Currency]],2),ROUND(TableTemp[[#This Row],[Sales Local Currency]],2))</f>
        <v>1973.9</v>
      </c>
      <c r="N53" s="52">
        <f>IF(TableTemp[[#This Row],[Reject]]="",0,TableTemp[[#This Row],[Reject]]/SUMIF(TableTemp[Company],Map!$B$9,TableTemp[Quantity]))</f>
        <v>0</v>
      </c>
    </row>
    <row r="54" spans="1:14" x14ac:dyDescent="0.25">
      <c r="A54" s="7" t="s">
        <v>32</v>
      </c>
      <c r="B54">
        <v>45444</v>
      </c>
      <c r="C54" s="8">
        <v>43388</v>
      </c>
      <c r="D54">
        <v>8060</v>
      </c>
      <c r="E54">
        <v>109</v>
      </c>
      <c r="G54">
        <v>70</v>
      </c>
      <c r="H54">
        <v>1960</v>
      </c>
      <c r="I54" s="10" t="str">
        <f>VLOOKUP(A54,MCompany[],2,FALSE)</f>
        <v>Lucas Basics</v>
      </c>
      <c r="J54" s="10" t="str">
        <f>VLOOKUP(TableTemp[[#This Row],[Customer Code]],MCustomer[],2,FALSE)</f>
        <v>Liebher</v>
      </c>
      <c r="K54" s="10" t="str">
        <f>VLOOKUP(TableTemp[[#This Row],[Article code]],MArticle[],2,FALSE)</f>
        <v>Laptop bag red</v>
      </c>
      <c r="L54" s="10" t="str">
        <f>VLOOKUP(TableTemp[[#This Row],[Company]],MCompany[],3,FALSE)</f>
        <v>EUR</v>
      </c>
      <c r="M54" s="15">
        <f>IF(TableTemp[[#This Row],[Currency]]="EUR",ROUND(VLOOKUP(MONTH(TableTemp[[#This Row],[Document Date]]),MExchange[],2,FALSE)*TableTemp[[#This Row],[Sales Local Currency]],2),ROUND(TableTemp[[#This Row],[Sales Local Currency]],2))</f>
        <v>2302.88</v>
      </c>
      <c r="N54" s="52">
        <f>IF(TableTemp[[#This Row],[Reject]]="",0,TableTemp[[#This Row],[Reject]]/SUMIF(TableTemp[Company],Map!$B$9,TableTemp[Quantity]))</f>
        <v>0</v>
      </c>
    </row>
    <row r="55" spans="1:14" x14ac:dyDescent="0.25">
      <c r="A55" s="7" t="s">
        <v>32</v>
      </c>
      <c r="B55">
        <v>45444</v>
      </c>
      <c r="C55" s="8">
        <v>43388</v>
      </c>
      <c r="D55">
        <v>8060</v>
      </c>
      <c r="E55">
        <v>110</v>
      </c>
      <c r="G55">
        <v>60</v>
      </c>
      <c r="H55">
        <v>3600</v>
      </c>
      <c r="I55" s="10" t="str">
        <f>VLOOKUP(A55,MCompany[],2,FALSE)</f>
        <v>Lucas Basics</v>
      </c>
      <c r="J55" s="10" t="str">
        <f>VLOOKUP(TableTemp[[#This Row],[Customer Code]],MCustomer[],2,FALSE)</f>
        <v>Liebher</v>
      </c>
      <c r="K55" s="10" t="str">
        <f>VLOOKUP(TableTemp[[#This Row],[Article code]],MArticle[],2,FALSE)</f>
        <v>Smartphone case diamond</v>
      </c>
      <c r="L55" s="10" t="str">
        <f>VLOOKUP(TableTemp[[#This Row],[Company]],MCompany[],3,FALSE)</f>
        <v>EUR</v>
      </c>
      <c r="M55" s="15">
        <f>IF(TableTemp[[#This Row],[Currency]]="EUR",ROUND(VLOOKUP(MONTH(TableTemp[[#This Row],[Document Date]]),MExchange[],2,FALSE)*TableTemp[[#This Row],[Sales Local Currency]],2),ROUND(TableTemp[[#This Row],[Sales Local Currency]],2))</f>
        <v>4229.78</v>
      </c>
      <c r="N55" s="52">
        <f>IF(TableTemp[[#This Row],[Reject]]="",0,TableTemp[[#This Row],[Reject]]/SUMIF(TableTemp[Company],Map!$B$9,TableTemp[Quantity]))</f>
        <v>0</v>
      </c>
    </row>
    <row r="56" spans="1:14" x14ac:dyDescent="0.25">
      <c r="A56" s="7" t="s">
        <v>32</v>
      </c>
      <c r="B56">
        <v>45446</v>
      </c>
      <c r="C56" s="8">
        <v>43388</v>
      </c>
      <c r="D56">
        <v>8050</v>
      </c>
      <c r="E56">
        <v>111</v>
      </c>
      <c r="G56">
        <v>80</v>
      </c>
      <c r="H56">
        <v>1600</v>
      </c>
      <c r="I56" s="10" t="str">
        <f>VLOOKUP(A56,MCompany[],2,FALSE)</f>
        <v>Lucas Basics</v>
      </c>
      <c r="J56" s="10" t="str">
        <f>VLOOKUP(TableTemp[[#This Row],[Customer Code]],MCustomer[],2,FALSE)</f>
        <v>Aida GmbH</v>
      </c>
      <c r="K56" s="10" t="str">
        <f>VLOOKUP(TableTemp[[#This Row],[Article code]],MArticle[],2,FALSE)</f>
        <v>Smartphone case simple</v>
      </c>
      <c r="L56" s="10" t="str">
        <f>VLOOKUP(TableTemp[[#This Row],[Company]],MCompany[],3,FALSE)</f>
        <v>EUR</v>
      </c>
      <c r="M56" s="15">
        <f>IF(TableTemp[[#This Row],[Currency]]="EUR",ROUND(VLOOKUP(MONTH(TableTemp[[#This Row],[Document Date]]),MExchange[],2,FALSE)*TableTemp[[#This Row],[Sales Local Currency]],2),ROUND(TableTemp[[#This Row],[Sales Local Currency]],2))</f>
        <v>1879.9</v>
      </c>
      <c r="N56" s="52">
        <f>IF(TableTemp[[#This Row],[Reject]]="",0,TableTemp[[#This Row],[Reject]]/SUMIF(TableTemp[Company],Map!$B$9,TableTemp[Quantity]))</f>
        <v>0</v>
      </c>
    </row>
    <row r="57" spans="1:14" x14ac:dyDescent="0.25">
      <c r="A57" s="7" t="s">
        <v>32</v>
      </c>
      <c r="B57">
        <v>45446</v>
      </c>
      <c r="C57" s="8">
        <v>43388</v>
      </c>
      <c r="D57">
        <v>8050</v>
      </c>
      <c r="E57">
        <v>108</v>
      </c>
      <c r="G57">
        <v>50</v>
      </c>
      <c r="H57">
        <v>1400</v>
      </c>
      <c r="I57" s="10" t="str">
        <f>VLOOKUP(A57,MCompany[],2,FALSE)</f>
        <v>Lucas Basics</v>
      </c>
      <c r="J57" s="10" t="str">
        <f>VLOOKUP(TableTemp[[#This Row],[Customer Code]],MCustomer[],2,FALSE)</f>
        <v>Aida GmbH</v>
      </c>
      <c r="K57" s="10" t="str">
        <f>VLOOKUP(TableTemp[[#This Row],[Article code]],MArticle[],2,FALSE)</f>
        <v>Laptop bag black</v>
      </c>
      <c r="L57" s="10" t="str">
        <f>VLOOKUP(TableTemp[[#This Row],[Company]],MCompany[],3,FALSE)</f>
        <v>EUR</v>
      </c>
      <c r="M57" s="15">
        <f>IF(TableTemp[[#This Row],[Currency]]="EUR",ROUND(VLOOKUP(MONTH(TableTemp[[#This Row],[Document Date]]),MExchange[],2,FALSE)*TableTemp[[#This Row],[Sales Local Currency]],2),ROUND(TableTemp[[#This Row],[Sales Local Currency]],2))</f>
        <v>1644.91</v>
      </c>
      <c r="N57" s="52">
        <f>IF(TableTemp[[#This Row],[Reject]]="",0,TableTemp[[#This Row],[Reject]]/SUMIF(TableTemp[Company],Map!$B$9,TableTemp[Quantity]))</f>
        <v>0</v>
      </c>
    </row>
    <row r="58" spans="1:14" x14ac:dyDescent="0.25">
      <c r="A58" s="7" t="s">
        <v>32</v>
      </c>
      <c r="B58">
        <v>44015</v>
      </c>
      <c r="C58" s="8">
        <v>43383</v>
      </c>
      <c r="D58">
        <v>8060</v>
      </c>
      <c r="E58">
        <v>108</v>
      </c>
      <c r="G58">
        <v>60</v>
      </c>
      <c r="H58">
        <v>1680</v>
      </c>
      <c r="I58" s="10" t="str">
        <f>VLOOKUP(A58,MCompany[],2,FALSE)</f>
        <v>Lucas Basics</v>
      </c>
      <c r="J58" s="10" t="str">
        <f>VLOOKUP(TableTemp[[#This Row],[Customer Code]],MCustomer[],2,FALSE)</f>
        <v>Liebher</v>
      </c>
      <c r="K58" s="10" t="str">
        <f>VLOOKUP(TableTemp[[#This Row],[Article code]],MArticle[],2,FALSE)</f>
        <v>Laptop bag black</v>
      </c>
      <c r="L58" s="10" t="str">
        <f>VLOOKUP(TableTemp[[#This Row],[Company]],MCompany[],3,FALSE)</f>
        <v>EUR</v>
      </c>
      <c r="M58" s="15">
        <f>IF(TableTemp[[#This Row],[Currency]]="EUR",ROUND(VLOOKUP(MONTH(TableTemp[[#This Row],[Document Date]]),MExchange[],2,FALSE)*TableTemp[[#This Row],[Sales Local Currency]],2),ROUND(TableTemp[[#This Row],[Sales Local Currency]],2))</f>
        <v>1973.9</v>
      </c>
      <c r="N58" s="52">
        <f>IF(TableTemp[[#This Row],[Reject]]="",0,TableTemp[[#This Row],[Reject]]/SUMIF(TableTemp[Company],Map!$B$9,TableTemp[Quantity]))</f>
        <v>0</v>
      </c>
    </row>
    <row r="59" spans="1:14" x14ac:dyDescent="0.25">
      <c r="A59" s="7" t="s">
        <v>32</v>
      </c>
      <c r="B59">
        <v>44015</v>
      </c>
      <c r="C59" s="8">
        <v>43383</v>
      </c>
      <c r="D59">
        <v>8060</v>
      </c>
      <c r="E59">
        <v>109</v>
      </c>
      <c r="G59">
        <v>70</v>
      </c>
      <c r="H59">
        <v>1960</v>
      </c>
      <c r="I59" s="10" t="str">
        <f>VLOOKUP(A59,MCompany[],2,FALSE)</f>
        <v>Lucas Basics</v>
      </c>
      <c r="J59" s="10" t="str">
        <f>VLOOKUP(TableTemp[[#This Row],[Customer Code]],MCustomer[],2,FALSE)</f>
        <v>Liebher</v>
      </c>
      <c r="K59" s="10" t="str">
        <f>VLOOKUP(TableTemp[[#This Row],[Article code]],MArticle[],2,FALSE)</f>
        <v>Laptop bag red</v>
      </c>
      <c r="L59" s="10" t="str">
        <f>VLOOKUP(TableTemp[[#This Row],[Company]],MCompany[],3,FALSE)</f>
        <v>EUR</v>
      </c>
      <c r="M59" s="15">
        <f>IF(TableTemp[[#This Row],[Currency]]="EUR",ROUND(VLOOKUP(MONTH(TableTemp[[#This Row],[Document Date]]),MExchange[],2,FALSE)*TableTemp[[#This Row],[Sales Local Currency]],2),ROUND(TableTemp[[#This Row],[Sales Local Currency]],2))</f>
        <v>2302.88</v>
      </c>
      <c r="N59" s="52">
        <f>IF(TableTemp[[#This Row],[Reject]]="",0,TableTemp[[#This Row],[Reject]]/SUMIF(TableTemp[Company],Map!$B$9,TableTemp[Quantity]))</f>
        <v>0</v>
      </c>
    </row>
    <row r="60" spans="1:14" x14ac:dyDescent="0.25">
      <c r="A60" s="7" t="s">
        <v>32</v>
      </c>
      <c r="B60">
        <v>44017</v>
      </c>
      <c r="C60" s="8">
        <v>43386</v>
      </c>
      <c r="D60">
        <v>8060</v>
      </c>
      <c r="E60">
        <v>108</v>
      </c>
      <c r="G60">
        <v>70</v>
      </c>
      <c r="H60">
        <v>1960</v>
      </c>
      <c r="I60" s="10" t="str">
        <f>VLOOKUP(A60,MCompany[],2,FALSE)</f>
        <v>Lucas Basics</v>
      </c>
      <c r="J60" s="10" t="str">
        <f>VLOOKUP(TableTemp[[#This Row],[Customer Code]],MCustomer[],2,FALSE)</f>
        <v>Liebher</v>
      </c>
      <c r="K60" s="10" t="str">
        <f>VLOOKUP(TableTemp[[#This Row],[Article code]],MArticle[],2,FALSE)</f>
        <v>Laptop bag black</v>
      </c>
      <c r="L60" s="10" t="str">
        <f>VLOOKUP(TableTemp[[#This Row],[Company]],MCompany[],3,FALSE)</f>
        <v>EUR</v>
      </c>
      <c r="M60" s="15">
        <f>IF(TableTemp[[#This Row],[Currency]]="EUR",ROUND(VLOOKUP(MONTH(TableTemp[[#This Row],[Document Date]]),MExchange[],2,FALSE)*TableTemp[[#This Row],[Sales Local Currency]],2),ROUND(TableTemp[[#This Row],[Sales Local Currency]],2))</f>
        <v>2302.88</v>
      </c>
      <c r="N60" s="52">
        <f>IF(TableTemp[[#This Row],[Reject]]="",0,TableTemp[[#This Row],[Reject]]/SUMIF(TableTemp[Company],Map!$B$9,TableTemp[Quantity]))</f>
        <v>0</v>
      </c>
    </row>
    <row r="61" spans="1:14" x14ac:dyDescent="0.25">
      <c r="A61" s="7" t="s">
        <v>32</v>
      </c>
      <c r="B61">
        <v>44017</v>
      </c>
      <c r="C61" s="8">
        <v>43386</v>
      </c>
      <c r="D61">
        <v>8060</v>
      </c>
      <c r="E61">
        <v>109</v>
      </c>
      <c r="G61">
        <v>70</v>
      </c>
      <c r="H61">
        <v>1960</v>
      </c>
      <c r="I61" s="10" t="str">
        <f>VLOOKUP(A61,MCompany[],2,FALSE)</f>
        <v>Lucas Basics</v>
      </c>
      <c r="J61" s="10" t="str">
        <f>VLOOKUP(TableTemp[[#This Row],[Customer Code]],MCustomer[],2,FALSE)</f>
        <v>Liebher</v>
      </c>
      <c r="K61" s="10" t="str">
        <f>VLOOKUP(TableTemp[[#This Row],[Article code]],MArticle[],2,FALSE)</f>
        <v>Laptop bag red</v>
      </c>
      <c r="L61" s="10" t="str">
        <f>VLOOKUP(TableTemp[[#This Row],[Company]],MCompany[],3,FALSE)</f>
        <v>EUR</v>
      </c>
      <c r="M61" s="15">
        <f>IF(TableTemp[[#This Row],[Currency]]="EUR",ROUND(VLOOKUP(MONTH(TableTemp[[#This Row],[Document Date]]),MExchange[],2,FALSE)*TableTemp[[#This Row],[Sales Local Currency]],2),ROUND(TableTemp[[#This Row],[Sales Local Currency]],2))</f>
        <v>2302.88</v>
      </c>
      <c r="N61" s="52">
        <f>IF(TableTemp[[#This Row],[Reject]]="",0,TableTemp[[#This Row],[Reject]]/SUMIF(TableTemp[Company],Map!$B$9,TableTemp[Quantity]))</f>
        <v>0</v>
      </c>
    </row>
    <row r="62" spans="1:14" x14ac:dyDescent="0.25">
      <c r="A62" s="7" t="s">
        <v>32</v>
      </c>
      <c r="B62">
        <v>44016</v>
      </c>
      <c r="C62" s="8">
        <v>43387</v>
      </c>
      <c r="D62">
        <v>8050</v>
      </c>
      <c r="E62">
        <v>108</v>
      </c>
      <c r="G62">
        <v>70</v>
      </c>
      <c r="H62">
        <v>1960</v>
      </c>
      <c r="I62" s="10" t="str">
        <f>VLOOKUP(A62,MCompany[],2,FALSE)</f>
        <v>Lucas Basics</v>
      </c>
      <c r="J62" s="10" t="str">
        <f>VLOOKUP(TableTemp[[#This Row],[Customer Code]],MCustomer[],2,FALSE)</f>
        <v>Aida GmbH</v>
      </c>
      <c r="K62" s="10" t="str">
        <f>VLOOKUP(TableTemp[[#This Row],[Article code]],MArticle[],2,FALSE)</f>
        <v>Laptop bag black</v>
      </c>
      <c r="L62" s="10" t="str">
        <f>VLOOKUP(TableTemp[[#This Row],[Company]],MCompany[],3,FALSE)</f>
        <v>EUR</v>
      </c>
      <c r="M62" s="15">
        <f>IF(TableTemp[[#This Row],[Currency]]="EUR",ROUND(VLOOKUP(MONTH(TableTemp[[#This Row],[Document Date]]),MExchange[],2,FALSE)*TableTemp[[#This Row],[Sales Local Currency]],2),ROUND(TableTemp[[#This Row],[Sales Local Currency]],2))</f>
        <v>2302.88</v>
      </c>
      <c r="N62" s="52">
        <f>IF(TableTemp[[#This Row],[Reject]]="",0,TableTemp[[#This Row],[Reject]]/SUMIF(TableTemp[Company],Map!$B$9,TableTemp[Quantity]))</f>
        <v>0</v>
      </c>
    </row>
    <row r="63" spans="1:14" x14ac:dyDescent="0.25">
      <c r="A63" s="7" t="s">
        <v>32</v>
      </c>
      <c r="B63">
        <v>44016</v>
      </c>
      <c r="C63" s="8">
        <v>43387</v>
      </c>
      <c r="D63">
        <v>8050</v>
      </c>
      <c r="E63">
        <v>109</v>
      </c>
      <c r="F63">
        <v>1</v>
      </c>
      <c r="G63">
        <v>60</v>
      </c>
      <c r="H63">
        <v>1680</v>
      </c>
      <c r="I63" s="10" t="str">
        <f>VLOOKUP(A63,MCompany[],2,FALSE)</f>
        <v>Lucas Basics</v>
      </c>
      <c r="J63" s="10" t="str">
        <f>VLOOKUP(TableTemp[[#This Row],[Customer Code]],MCustomer[],2,FALSE)</f>
        <v>Aida GmbH</v>
      </c>
      <c r="K63" s="10" t="str">
        <f>VLOOKUP(TableTemp[[#This Row],[Article code]],MArticle[],2,FALSE)</f>
        <v>Laptop bag red</v>
      </c>
      <c r="L63" s="10" t="str">
        <f>VLOOKUP(TableTemp[[#This Row],[Company]],MCompany[],3,FALSE)</f>
        <v>EUR</v>
      </c>
      <c r="M63" s="15">
        <f>IF(TableTemp[[#This Row],[Currency]]="EUR",ROUND(VLOOKUP(MONTH(TableTemp[[#This Row],[Document Date]]),MExchange[],2,FALSE)*TableTemp[[#This Row],[Sales Local Currency]],2),ROUND(TableTemp[[#This Row],[Sales Local Currency]],2))</f>
        <v>1973.9</v>
      </c>
      <c r="N63" s="52">
        <f>IF(TableTemp[[#This Row],[Reject]]="",0,TableTemp[[#This Row],[Reject]]/SUMIF(TableTemp[Company],Map!$B$9,TableTemp[Quantity]))</f>
        <v>1.6339869281045751E-4</v>
      </c>
    </row>
    <row r="64" spans="1:14" x14ac:dyDescent="0.25">
      <c r="A64" s="7" t="s">
        <v>32</v>
      </c>
      <c r="B64">
        <v>44016</v>
      </c>
      <c r="C64" s="8">
        <v>43387</v>
      </c>
      <c r="D64">
        <v>8050</v>
      </c>
      <c r="E64">
        <v>110</v>
      </c>
      <c r="G64">
        <v>50</v>
      </c>
      <c r="H64">
        <v>3000</v>
      </c>
      <c r="I64" s="10" t="str">
        <f>VLOOKUP(A64,MCompany[],2,FALSE)</f>
        <v>Lucas Basics</v>
      </c>
      <c r="J64" s="10" t="str">
        <f>VLOOKUP(TableTemp[[#This Row],[Customer Code]],MCustomer[],2,FALSE)</f>
        <v>Aida GmbH</v>
      </c>
      <c r="K64" s="10" t="str">
        <f>VLOOKUP(TableTemp[[#This Row],[Article code]],MArticle[],2,FALSE)</f>
        <v>Smartphone case diamond</v>
      </c>
      <c r="L64" s="10" t="str">
        <f>VLOOKUP(TableTemp[[#This Row],[Company]],MCompany[],3,FALSE)</f>
        <v>EUR</v>
      </c>
      <c r="M64" s="15">
        <f>IF(TableTemp[[#This Row],[Currency]]="EUR",ROUND(VLOOKUP(MONTH(TableTemp[[#This Row],[Document Date]]),MExchange[],2,FALSE)*TableTemp[[#This Row],[Sales Local Currency]],2),ROUND(TableTemp[[#This Row],[Sales Local Currency]],2))</f>
        <v>3524.82</v>
      </c>
      <c r="N64" s="52">
        <f>IF(TableTemp[[#This Row],[Reject]]="",0,TableTemp[[#This Row],[Reject]]/SUMIF(TableTemp[Company],Map!$B$9,TableTemp[Quantity]))</f>
        <v>0</v>
      </c>
    </row>
    <row r="65" spans="1:14" x14ac:dyDescent="0.25">
      <c r="A65" s="7" t="s">
        <v>32</v>
      </c>
      <c r="B65">
        <v>48097</v>
      </c>
      <c r="C65" s="8">
        <v>43390</v>
      </c>
      <c r="D65">
        <v>8060</v>
      </c>
      <c r="E65">
        <v>109</v>
      </c>
      <c r="G65">
        <v>60</v>
      </c>
      <c r="H65">
        <v>1680</v>
      </c>
      <c r="I65" s="10" t="str">
        <f>VLOOKUP(A65,MCompany[],2,FALSE)</f>
        <v>Lucas Basics</v>
      </c>
      <c r="J65" s="10" t="str">
        <f>VLOOKUP(TableTemp[[#This Row],[Customer Code]],MCustomer[],2,FALSE)</f>
        <v>Liebher</v>
      </c>
      <c r="K65" s="10" t="str">
        <f>VLOOKUP(TableTemp[[#This Row],[Article code]],MArticle[],2,FALSE)</f>
        <v>Laptop bag red</v>
      </c>
      <c r="L65" s="10" t="str">
        <f>VLOOKUP(TableTemp[[#This Row],[Company]],MCompany[],3,FALSE)</f>
        <v>EUR</v>
      </c>
      <c r="M65" s="15">
        <f>IF(TableTemp[[#This Row],[Currency]]="EUR",ROUND(VLOOKUP(MONTH(TableTemp[[#This Row],[Document Date]]),MExchange[],2,FALSE)*TableTemp[[#This Row],[Sales Local Currency]],2),ROUND(TableTemp[[#This Row],[Sales Local Currency]],2))</f>
        <v>1973.9</v>
      </c>
      <c r="N65" s="52">
        <f>IF(TableTemp[[#This Row],[Reject]]="",0,TableTemp[[#This Row],[Reject]]/SUMIF(TableTemp[Company],Map!$B$9,TableTemp[Quantity]))</f>
        <v>0</v>
      </c>
    </row>
    <row r="66" spans="1:14" x14ac:dyDescent="0.25">
      <c r="A66" s="7" t="s">
        <v>32</v>
      </c>
      <c r="B66">
        <v>48097</v>
      </c>
      <c r="C66" s="8">
        <v>43390</v>
      </c>
      <c r="D66">
        <v>8060</v>
      </c>
      <c r="E66">
        <v>110</v>
      </c>
      <c r="G66">
        <v>70</v>
      </c>
      <c r="H66">
        <v>4200</v>
      </c>
      <c r="I66" s="10" t="str">
        <f>VLOOKUP(A66,MCompany[],2,FALSE)</f>
        <v>Lucas Basics</v>
      </c>
      <c r="J66" s="10" t="str">
        <f>VLOOKUP(TableTemp[[#This Row],[Customer Code]],MCustomer[],2,FALSE)</f>
        <v>Liebher</v>
      </c>
      <c r="K66" s="10" t="str">
        <f>VLOOKUP(TableTemp[[#This Row],[Article code]],MArticle[],2,FALSE)</f>
        <v>Smartphone case diamond</v>
      </c>
      <c r="L66" s="10" t="str">
        <f>VLOOKUP(TableTemp[[#This Row],[Company]],MCompany[],3,FALSE)</f>
        <v>EUR</v>
      </c>
      <c r="M66" s="15">
        <f>IF(TableTemp[[#This Row],[Currency]]="EUR",ROUND(VLOOKUP(MONTH(TableTemp[[#This Row],[Document Date]]),MExchange[],2,FALSE)*TableTemp[[#This Row],[Sales Local Currency]],2),ROUND(TableTemp[[#This Row],[Sales Local Currency]],2))</f>
        <v>4934.74</v>
      </c>
      <c r="N66" s="52">
        <f>IF(TableTemp[[#This Row],[Reject]]="",0,TableTemp[[#This Row],[Reject]]/SUMIF(TableTemp[Company],Map!$B$9,TableTemp[Quantity]))</f>
        <v>0</v>
      </c>
    </row>
    <row r="67" spans="1:14" x14ac:dyDescent="0.25">
      <c r="A67" s="7" t="s">
        <v>32</v>
      </c>
      <c r="B67">
        <v>48099</v>
      </c>
      <c r="C67" s="8">
        <v>43390</v>
      </c>
      <c r="D67">
        <v>8050</v>
      </c>
      <c r="E67">
        <v>109</v>
      </c>
      <c r="F67">
        <v>1</v>
      </c>
      <c r="G67">
        <v>60</v>
      </c>
      <c r="H67">
        <v>1680</v>
      </c>
      <c r="I67" s="10" t="str">
        <f>VLOOKUP(A67,MCompany[],2,FALSE)</f>
        <v>Lucas Basics</v>
      </c>
      <c r="J67" s="10" t="str">
        <f>VLOOKUP(TableTemp[[#This Row],[Customer Code]],MCustomer[],2,FALSE)</f>
        <v>Aida GmbH</v>
      </c>
      <c r="K67" s="10" t="str">
        <f>VLOOKUP(TableTemp[[#This Row],[Article code]],MArticle[],2,FALSE)</f>
        <v>Laptop bag red</v>
      </c>
      <c r="L67" s="10" t="str">
        <f>VLOOKUP(TableTemp[[#This Row],[Company]],MCompany[],3,FALSE)</f>
        <v>EUR</v>
      </c>
      <c r="M67" s="15">
        <f>IF(TableTemp[[#This Row],[Currency]]="EUR",ROUND(VLOOKUP(MONTH(TableTemp[[#This Row],[Document Date]]),MExchange[],2,FALSE)*TableTemp[[#This Row],[Sales Local Currency]],2),ROUND(TableTemp[[#This Row],[Sales Local Currency]],2))</f>
        <v>1973.9</v>
      </c>
      <c r="N67" s="52">
        <f>IF(TableTemp[[#This Row],[Reject]]="",0,TableTemp[[#This Row],[Reject]]/SUMIF(TableTemp[Company],Map!$B$9,TableTemp[Quantity]))</f>
        <v>1.6339869281045751E-4</v>
      </c>
    </row>
    <row r="68" spans="1:14" x14ac:dyDescent="0.25">
      <c r="A68" s="7" t="s">
        <v>32</v>
      </c>
      <c r="B68">
        <v>48099</v>
      </c>
      <c r="C68" s="8">
        <v>43390</v>
      </c>
      <c r="D68">
        <v>8050</v>
      </c>
      <c r="E68">
        <v>110</v>
      </c>
      <c r="G68">
        <v>60</v>
      </c>
      <c r="H68">
        <v>3600</v>
      </c>
      <c r="I68" s="10" t="str">
        <f>VLOOKUP(A68,MCompany[],2,FALSE)</f>
        <v>Lucas Basics</v>
      </c>
      <c r="J68" s="10" t="str">
        <f>VLOOKUP(TableTemp[[#This Row],[Customer Code]],MCustomer[],2,FALSE)</f>
        <v>Aida GmbH</v>
      </c>
      <c r="K68" s="10" t="str">
        <f>VLOOKUP(TableTemp[[#This Row],[Article code]],MArticle[],2,FALSE)</f>
        <v>Smartphone case diamond</v>
      </c>
      <c r="L68" s="10" t="str">
        <f>VLOOKUP(TableTemp[[#This Row],[Company]],MCompany[],3,FALSE)</f>
        <v>EUR</v>
      </c>
      <c r="M68" s="15">
        <f>IF(TableTemp[[#This Row],[Currency]]="EUR",ROUND(VLOOKUP(MONTH(TableTemp[[#This Row],[Document Date]]),MExchange[],2,FALSE)*TableTemp[[#This Row],[Sales Local Currency]],2),ROUND(TableTemp[[#This Row],[Sales Local Currency]],2))</f>
        <v>4229.78</v>
      </c>
      <c r="N68" s="52">
        <f>IF(TableTemp[[#This Row],[Reject]]="",0,TableTemp[[#This Row],[Reject]]/SUMIF(TableTemp[Company],Map!$B$9,TableTemp[Quantity]))</f>
        <v>0</v>
      </c>
    </row>
    <row r="69" spans="1:14" x14ac:dyDescent="0.25">
      <c r="A69" s="7" t="s">
        <v>32</v>
      </c>
      <c r="B69">
        <v>48099</v>
      </c>
      <c r="C69" s="8">
        <v>43390</v>
      </c>
      <c r="D69">
        <v>8050</v>
      </c>
      <c r="E69">
        <v>111</v>
      </c>
      <c r="G69">
        <v>60</v>
      </c>
      <c r="H69">
        <v>1200</v>
      </c>
      <c r="I69" s="10" t="str">
        <f>VLOOKUP(A69,MCompany[],2,FALSE)</f>
        <v>Lucas Basics</v>
      </c>
      <c r="J69" s="10" t="str">
        <f>VLOOKUP(TableTemp[[#This Row],[Customer Code]],MCustomer[],2,FALSE)</f>
        <v>Aida GmbH</v>
      </c>
      <c r="K69" s="10" t="str">
        <f>VLOOKUP(TableTemp[[#This Row],[Article code]],MArticle[],2,FALSE)</f>
        <v>Smartphone case simple</v>
      </c>
      <c r="L69" s="10" t="str">
        <f>VLOOKUP(TableTemp[[#This Row],[Company]],MCompany[],3,FALSE)</f>
        <v>EUR</v>
      </c>
      <c r="M69" s="15">
        <f>IF(TableTemp[[#This Row],[Currency]]="EUR",ROUND(VLOOKUP(MONTH(TableTemp[[#This Row],[Document Date]]),MExchange[],2,FALSE)*TableTemp[[#This Row],[Sales Local Currency]],2),ROUND(TableTemp[[#This Row],[Sales Local Currency]],2))</f>
        <v>1409.93</v>
      </c>
      <c r="N69" s="52">
        <f>IF(TableTemp[[#This Row],[Reject]]="",0,TableTemp[[#This Row],[Reject]]/SUMIF(TableTemp[Company],Map!$B$9,TableTemp[Quantity]))</f>
        <v>0</v>
      </c>
    </row>
    <row r="70" spans="1:14" x14ac:dyDescent="0.25">
      <c r="A70" s="7" t="s">
        <v>32</v>
      </c>
      <c r="B70">
        <v>48101</v>
      </c>
      <c r="C70" s="8">
        <v>43390</v>
      </c>
      <c r="D70">
        <v>8060</v>
      </c>
      <c r="E70">
        <v>109</v>
      </c>
      <c r="G70">
        <v>60</v>
      </c>
      <c r="H70">
        <v>1680</v>
      </c>
      <c r="I70" s="10" t="str">
        <f>VLOOKUP(A70,MCompany[],2,FALSE)</f>
        <v>Lucas Basics</v>
      </c>
      <c r="J70" s="10" t="str">
        <f>VLOOKUP(TableTemp[[#This Row],[Customer Code]],MCustomer[],2,FALSE)</f>
        <v>Liebher</v>
      </c>
      <c r="K70" s="10" t="str">
        <f>VLOOKUP(TableTemp[[#This Row],[Article code]],MArticle[],2,FALSE)</f>
        <v>Laptop bag red</v>
      </c>
      <c r="L70" s="10" t="str">
        <f>VLOOKUP(TableTemp[[#This Row],[Company]],MCompany[],3,FALSE)</f>
        <v>EUR</v>
      </c>
      <c r="M70" s="15">
        <f>IF(TableTemp[[#This Row],[Currency]]="EUR",ROUND(VLOOKUP(MONTH(TableTemp[[#This Row],[Document Date]]),MExchange[],2,FALSE)*TableTemp[[#This Row],[Sales Local Currency]],2),ROUND(TableTemp[[#This Row],[Sales Local Currency]],2))</f>
        <v>1973.9</v>
      </c>
      <c r="N70" s="52">
        <f>IF(TableTemp[[#This Row],[Reject]]="",0,TableTemp[[#This Row],[Reject]]/SUMIF(TableTemp[Company],Map!$B$9,TableTemp[Quantity]))</f>
        <v>0</v>
      </c>
    </row>
    <row r="71" spans="1:14" x14ac:dyDescent="0.25">
      <c r="A71" s="7" t="s">
        <v>32</v>
      </c>
      <c r="B71">
        <v>48101</v>
      </c>
      <c r="C71" s="8">
        <v>43390</v>
      </c>
      <c r="D71">
        <v>8060</v>
      </c>
      <c r="E71">
        <v>110</v>
      </c>
      <c r="G71">
        <v>50</v>
      </c>
      <c r="H71">
        <v>3000</v>
      </c>
      <c r="I71" s="10" t="str">
        <f>VLOOKUP(A71,MCompany[],2,FALSE)</f>
        <v>Lucas Basics</v>
      </c>
      <c r="J71" s="10" t="str">
        <f>VLOOKUP(TableTemp[[#This Row],[Customer Code]],MCustomer[],2,FALSE)</f>
        <v>Liebher</v>
      </c>
      <c r="K71" s="10" t="str">
        <f>VLOOKUP(TableTemp[[#This Row],[Article code]],MArticle[],2,FALSE)</f>
        <v>Smartphone case diamond</v>
      </c>
      <c r="L71" s="10" t="str">
        <f>VLOOKUP(TableTemp[[#This Row],[Company]],MCompany[],3,FALSE)</f>
        <v>EUR</v>
      </c>
      <c r="M71" s="15">
        <f>IF(TableTemp[[#This Row],[Currency]]="EUR",ROUND(VLOOKUP(MONTH(TableTemp[[#This Row],[Document Date]]),MExchange[],2,FALSE)*TableTemp[[#This Row],[Sales Local Currency]],2),ROUND(TableTemp[[#This Row],[Sales Local Currency]],2))</f>
        <v>3524.82</v>
      </c>
      <c r="N71" s="52">
        <f>IF(TableTemp[[#This Row],[Reject]]="",0,TableTemp[[#This Row],[Reject]]/SUMIF(TableTemp[Company],Map!$B$9,TableTemp[Quantity]))</f>
        <v>0</v>
      </c>
    </row>
    <row r="72" spans="1:14" x14ac:dyDescent="0.25">
      <c r="A72" s="7" t="s">
        <v>32</v>
      </c>
      <c r="B72">
        <v>45427</v>
      </c>
      <c r="C72" s="8">
        <v>43394</v>
      </c>
      <c r="D72">
        <v>8050</v>
      </c>
      <c r="E72">
        <v>108</v>
      </c>
      <c r="G72">
        <v>70</v>
      </c>
      <c r="H72">
        <v>1960</v>
      </c>
      <c r="I72" s="10" t="str">
        <f>VLOOKUP(A72,MCompany[],2,FALSE)</f>
        <v>Lucas Basics</v>
      </c>
      <c r="J72" s="10" t="str">
        <f>VLOOKUP(TableTemp[[#This Row],[Customer Code]],MCustomer[],2,FALSE)</f>
        <v>Aida GmbH</v>
      </c>
      <c r="K72" s="10" t="str">
        <f>VLOOKUP(TableTemp[[#This Row],[Article code]],MArticle[],2,FALSE)</f>
        <v>Laptop bag black</v>
      </c>
      <c r="L72" s="10" t="str">
        <f>VLOOKUP(TableTemp[[#This Row],[Company]],MCompany[],3,FALSE)</f>
        <v>EUR</v>
      </c>
      <c r="M72" s="15">
        <f>IF(TableTemp[[#This Row],[Currency]]="EUR",ROUND(VLOOKUP(MONTH(TableTemp[[#This Row],[Document Date]]),MExchange[],2,FALSE)*TableTemp[[#This Row],[Sales Local Currency]],2),ROUND(TableTemp[[#This Row],[Sales Local Currency]],2))</f>
        <v>2302.88</v>
      </c>
      <c r="N72" s="52">
        <f>IF(TableTemp[[#This Row],[Reject]]="",0,TableTemp[[#This Row],[Reject]]/SUMIF(TableTemp[Company],Map!$B$9,TableTemp[Quantity]))</f>
        <v>0</v>
      </c>
    </row>
    <row r="73" spans="1:14" x14ac:dyDescent="0.25">
      <c r="A73" s="7" t="s">
        <v>32</v>
      </c>
      <c r="B73">
        <v>45427</v>
      </c>
      <c r="C73" s="8">
        <v>43394</v>
      </c>
      <c r="D73">
        <v>8050</v>
      </c>
      <c r="E73">
        <v>109</v>
      </c>
      <c r="G73">
        <v>60</v>
      </c>
      <c r="H73">
        <v>1680</v>
      </c>
      <c r="I73" s="10" t="str">
        <f>VLOOKUP(A73,MCompany[],2,FALSE)</f>
        <v>Lucas Basics</v>
      </c>
      <c r="J73" s="10" t="str">
        <f>VLOOKUP(TableTemp[[#This Row],[Customer Code]],MCustomer[],2,FALSE)</f>
        <v>Aida GmbH</v>
      </c>
      <c r="K73" s="10" t="str">
        <f>VLOOKUP(TableTemp[[#This Row],[Article code]],MArticle[],2,FALSE)</f>
        <v>Laptop bag red</v>
      </c>
      <c r="L73" s="10" t="str">
        <f>VLOOKUP(TableTemp[[#This Row],[Company]],MCompany[],3,FALSE)</f>
        <v>EUR</v>
      </c>
      <c r="M73" s="15">
        <f>IF(TableTemp[[#This Row],[Currency]]="EUR",ROUND(VLOOKUP(MONTH(TableTemp[[#This Row],[Document Date]]),MExchange[],2,FALSE)*TableTemp[[#This Row],[Sales Local Currency]],2),ROUND(TableTemp[[#This Row],[Sales Local Currency]],2))</f>
        <v>1973.9</v>
      </c>
      <c r="N73" s="52">
        <f>IF(TableTemp[[#This Row],[Reject]]="",0,TableTemp[[#This Row],[Reject]]/SUMIF(TableTemp[Company],Map!$B$9,TableTemp[Quantity]))</f>
        <v>0</v>
      </c>
    </row>
    <row r="74" spans="1:14" x14ac:dyDescent="0.25">
      <c r="A74" s="7" t="s">
        <v>32</v>
      </c>
      <c r="B74">
        <v>45429</v>
      </c>
      <c r="C74" s="8">
        <v>43394</v>
      </c>
      <c r="D74">
        <v>8060</v>
      </c>
      <c r="E74">
        <v>108</v>
      </c>
      <c r="G74">
        <v>80</v>
      </c>
      <c r="H74">
        <v>2240</v>
      </c>
      <c r="I74" s="10" t="str">
        <f>VLOOKUP(A74,MCompany[],2,FALSE)</f>
        <v>Lucas Basics</v>
      </c>
      <c r="J74" s="10" t="str">
        <f>VLOOKUP(TableTemp[[#This Row],[Customer Code]],MCustomer[],2,FALSE)</f>
        <v>Liebher</v>
      </c>
      <c r="K74" s="10" t="str">
        <f>VLOOKUP(TableTemp[[#This Row],[Article code]],MArticle[],2,FALSE)</f>
        <v>Laptop bag black</v>
      </c>
      <c r="L74" s="10" t="str">
        <f>VLOOKUP(TableTemp[[#This Row],[Company]],MCompany[],3,FALSE)</f>
        <v>EUR</v>
      </c>
      <c r="M74" s="15">
        <f>IF(TableTemp[[#This Row],[Currency]]="EUR",ROUND(VLOOKUP(MONTH(TableTemp[[#This Row],[Document Date]]),MExchange[],2,FALSE)*TableTemp[[#This Row],[Sales Local Currency]],2),ROUND(TableTemp[[#This Row],[Sales Local Currency]],2))</f>
        <v>2631.86</v>
      </c>
      <c r="N74" s="52">
        <f>IF(TableTemp[[#This Row],[Reject]]="",0,TableTemp[[#This Row],[Reject]]/SUMIF(TableTemp[Company],Map!$B$9,TableTemp[Quantity]))</f>
        <v>0</v>
      </c>
    </row>
    <row r="75" spans="1:14" x14ac:dyDescent="0.25">
      <c r="A75" s="7" t="s">
        <v>32</v>
      </c>
      <c r="B75">
        <v>45429</v>
      </c>
      <c r="C75" s="8">
        <v>43394</v>
      </c>
      <c r="D75">
        <v>8060</v>
      </c>
      <c r="E75">
        <v>109</v>
      </c>
      <c r="F75">
        <v>2</v>
      </c>
      <c r="G75">
        <v>80</v>
      </c>
      <c r="H75">
        <v>2240</v>
      </c>
      <c r="I75" s="10" t="str">
        <f>VLOOKUP(A75,MCompany[],2,FALSE)</f>
        <v>Lucas Basics</v>
      </c>
      <c r="J75" s="10" t="str">
        <f>VLOOKUP(TableTemp[[#This Row],[Customer Code]],MCustomer[],2,FALSE)</f>
        <v>Liebher</v>
      </c>
      <c r="K75" s="10" t="str">
        <f>VLOOKUP(TableTemp[[#This Row],[Article code]],MArticle[],2,FALSE)</f>
        <v>Laptop bag red</v>
      </c>
      <c r="L75" s="10" t="str">
        <f>VLOOKUP(TableTemp[[#This Row],[Company]],MCompany[],3,FALSE)</f>
        <v>EUR</v>
      </c>
      <c r="M75" s="15">
        <f>IF(TableTemp[[#This Row],[Currency]]="EUR",ROUND(VLOOKUP(MONTH(TableTemp[[#This Row],[Document Date]]),MExchange[],2,FALSE)*TableTemp[[#This Row],[Sales Local Currency]],2),ROUND(TableTemp[[#This Row],[Sales Local Currency]],2))</f>
        <v>2631.86</v>
      </c>
      <c r="N75" s="52">
        <f>IF(TableTemp[[#This Row],[Reject]]="",0,TableTemp[[#This Row],[Reject]]/SUMIF(TableTemp[Company],Map!$B$9,TableTemp[Quantity]))</f>
        <v>3.2679738562091501E-4</v>
      </c>
    </row>
    <row r="76" spans="1:14" x14ac:dyDescent="0.25">
      <c r="A76" s="7" t="s">
        <v>32</v>
      </c>
      <c r="B76">
        <v>45429</v>
      </c>
      <c r="C76" s="8">
        <v>43394</v>
      </c>
      <c r="D76">
        <v>8060</v>
      </c>
      <c r="E76">
        <v>110</v>
      </c>
      <c r="G76">
        <v>50</v>
      </c>
      <c r="H76">
        <v>3000</v>
      </c>
      <c r="I76" s="10" t="str">
        <f>VLOOKUP(A76,MCompany[],2,FALSE)</f>
        <v>Lucas Basics</v>
      </c>
      <c r="J76" s="10" t="str">
        <f>VLOOKUP(TableTemp[[#This Row],[Customer Code]],MCustomer[],2,FALSE)</f>
        <v>Liebher</v>
      </c>
      <c r="K76" s="10" t="str">
        <f>VLOOKUP(TableTemp[[#This Row],[Article code]],MArticle[],2,FALSE)</f>
        <v>Smartphone case diamond</v>
      </c>
      <c r="L76" s="10" t="str">
        <f>VLOOKUP(TableTemp[[#This Row],[Company]],MCompany[],3,FALSE)</f>
        <v>EUR</v>
      </c>
      <c r="M76" s="15">
        <f>IF(TableTemp[[#This Row],[Currency]]="EUR",ROUND(VLOOKUP(MONTH(TableTemp[[#This Row],[Document Date]]),MExchange[],2,FALSE)*TableTemp[[#This Row],[Sales Local Currency]],2),ROUND(TableTemp[[#This Row],[Sales Local Currency]],2))</f>
        <v>3524.82</v>
      </c>
      <c r="N76" s="52">
        <f>IF(TableTemp[[#This Row],[Reject]]="",0,TableTemp[[#This Row],[Reject]]/SUMIF(TableTemp[Company],Map!$B$9,TableTemp[Quantity]))</f>
        <v>0</v>
      </c>
    </row>
    <row r="77" spans="1:14" x14ac:dyDescent="0.25">
      <c r="A77" s="7" t="s">
        <v>32</v>
      </c>
      <c r="B77">
        <v>45431</v>
      </c>
      <c r="C77" s="8">
        <v>43394</v>
      </c>
      <c r="D77">
        <v>8050</v>
      </c>
      <c r="E77">
        <v>111</v>
      </c>
      <c r="G77">
        <v>60</v>
      </c>
      <c r="H77">
        <v>1200</v>
      </c>
      <c r="I77" s="10" t="str">
        <f>VLOOKUP(A77,MCompany[],2,FALSE)</f>
        <v>Lucas Basics</v>
      </c>
      <c r="J77" s="10" t="str">
        <f>VLOOKUP(TableTemp[[#This Row],[Customer Code]],MCustomer[],2,FALSE)</f>
        <v>Aida GmbH</v>
      </c>
      <c r="K77" s="10" t="str">
        <f>VLOOKUP(TableTemp[[#This Row],[Article code]],MArticle[],2,FALSE)</f>
        <v>Smartphone case simple</v>
      </c>
      <c r="L77" s="10" t="str">
        <f>VLOOKUP(TableTemp[[#This Row],[Company]],MCompany[],3,FALSE)</f>
        <v>EUR</v>
      </c>
      <c r="M77" s="15">
        <f>IF(TableTemp[[#This Row],[Currency]]="EUR",ROUND(VLOOKUP(MONTH(TableTemp[[#This Row],[Document Date]]),MExchange[],2,FALSE)*TableTemp[[#This Row],[Sales Local Currency]],2),ROUND(TableTemp[[#This Row],[Sales Local Currency]],2))</f>
        <v>1409.93</v>
      </c>
      <c r="N77" s="52">
        <f>IF(TableTemp[[#This Row],[Reject]]="",0,TableTemp[[#This Row],[Reject]]/SUMIF(TableTemp[Company],Map!$B$9,TableTemp[Quantity]))</f>
        <v>0</v>
      </c>
    </row>
    <row r="78" spans="1:14" x14ac:dyDescent="0.25">
      <c r="A78" s="7" t="s">
        <v>32</v>
      </c>
      <c r="B78">
        <v>45431</v>
      </c>
      <c r="C78" s="8">
        <v>43394</v>
      </c>
      <c r="D78">
        <v>8050</v>
      </c>
      <c r="E78">
        <v>108</v>
      </c>
      <c r="G78">
        <v>60</v>
      </c>
      <c r="H78">
        <v>1680</v>
      </c>
      <c r="I78" s="10" t="str">
        <f>VLOOKUP(A78,MCompany[],2,FALSE)</f>
        <v>Lucas Basics</v>
      </c>
      <c r="J78" s="10" t="str">
        <f>VLOOKUP(TableTemp[[#This Row],[Customer Code]],MCustomer[],2,FALSE)</f>
        <v>Aida GmbH</v>
      </c>
      <c r="K78" s="10" t="str">
        <f>VLOOKUP(TableTemp[[#This Row],[Article code]],MArticle[],2,FALSE)</f>
        <v>Laptop bag black</v>
      </c>
      <c r="L78" s="10" t="str">
        <f>VLOOKUP(TableTemp[[#This Row],[Company]],MCompany[],3,FALSE)</f>
        <v>EUR</v>
      </c>
      <c r="M78" s="15">
        <f>IF(TableTemp[[#This Row],[Currency]]="EUR",ROUND(VLOOKUP(MONTH(TableTemp[[#This Row],[Document Date]]),MExchange[],2,FALSE)*TableTemp[[#This Row],[Sales Local Currency]],2),ROUND(TableTemp[[#This Row],[Sales Local Currency]],2))</f>
        <v>1973.9</v>
      </c>
      <c r="N78" s="52">
        <f>IF(TableTemp[[#This Row],[Reject]]="",0,TableTemp[[#This Row],[Reject]]/SUMIF(TableTemp[Company],Map!$B$9,TableTemp[Quantity]))</f>
        <v>0</v>
      </c>
    </row>
    <row r="79" spans="1:14" x14ac:dyDescent="0.25">
      <c r="A79" s="7" t="s">
        <v>30</v>
      </c>
      <c r="B79">
        <v>24030</v>
      </c>
      <c r="C79" s="8">
        <v>43375</v>
      </c>
      <c r="D79">
        <v>8020</v>
      </c>
      <c r="E79">
        <v>101</v>
      </c>
      <c r="F79">
        <v>1</v>
      </c>
      <c r="G79">
        <v>130</v>
      </c>
      <c r="H79">
        <v>1560</v>
      </c>
      <c r="I79" s="10" t="str">
        <f>VLOOKUP(A79,MCompany[],2,FALSE)</f>
        <v>Meta Creations</v>
      </c>
      <c r="J79" s="10" t="str">
        <f>VLOOKUP(TableTemp[[#This Row],[Customer Code]],MCustomer[],2,FALSE)</f>
        <v>Erma</v>
      </c>
      <c r="K79" s="10" t="str">
        <f>VLOOKUP(TableTemp[[#This Row],[Article code]],MArticle[],2,FALSE)</f>
        <v>Men type T simple white</v>
      </c>
      <c r="L79" s="10" t="str">
        <f>VLOOKUP(TableTemp[[#This Row],[Company]],MCompany[],3,FALSE)</f>
        <v>USD</v>
      </c>
      <c r="M79" s="15">
        <f>IF(TableTemp[[#This Row],[Currency]]="EUR",ROUND(VLOOKUP(MONTH(TableTemp[[#This Row],[Document Date]]),MExchange[],2,FALSE)*TableTemp[[#This Row],[Sales Local Currency]],2),ROUND(TableTemp[[#This Row],[Sales Local Currency]],2))</f>
        <v>1560</v>
      </c>
      <c r="N79" s="52">
        <f>IF(TableTemp[[#This Row],[Reject]]="",0,TableTemp[[#This Row],[Reject]]/SUMIF(TableTemp[Company],Map!$B$9,TableTemp[Quantity]))</f>
        <v>1.6339869281045751E-4</v>
      </c>
    </row>
    <row r="80" spans="1:14" x14ac:dyDescent="0.25">
      <c r="A80" s="7" t="s">
        <v>30</v>
      </c>
      <c r="B80">
        <v>24030</v>
      </c>
      <c r="C80" s="8">
        <v>43375</v>
      </c>
      <c r="D80">
        <v>8020</v>
      </c>
      <c r="E80">
        <v>102</v>
      </c>
      <c r="G80">
        <v>30</v>
      </c>
      <c r="H80">
        <v>360</v>
      </c>
      <c r="I80" s="10" t="str">
        <f>VLOOKUP(A80,MCompany[],2,FALSE)</f>
        <v>Meta Creations</v>
      </c>
      <c r="J80" s="10" t="str">
        <f>VLOOKUP(TableTemp[[#This Row],[Customer Code]],MCustomer[],2,FALSE)</f>
        <v>Erma</v>
      </c>
      <c r="K80" s="10" t="str">
        <f>VLOOKUP(TableTemp[[#This Row],[Article code]],MArticle[],2,FALSE)</f>
        <v>Men type T simple black</v>
      </c>
      <c r="L80" s="10" t="str">
        <f>VLOOKUP(TableTemp[[#This Row],[Company]],MCompany[],3,FALSE)</f>
        <v>USD</v>
      </c>
      <c r="M80" s="15">
        <f>IF(TableTemp[[#This Row],[Currency]]="EUR",ROUND(VLOOKUP(MONTH(TableTemp[[#This Row],[Document Date]]),MExchange[],2,FALSE)*TableTemp[[#This Row],[Sales Local Currency]],2),ROUND(TableTemp[[#This Row],[Sales Local Currency]],2))</f>
        <v>360</v>
      </c>
      <c r="N80" s="52">
        <f>IF(TableTemp[[#This Row],[Reject]]="",0,TableTemp[[#This Row],[Reject]]/SUMIF(TableTemp[Company],Map!$B$9,TableTemp[Quantity]))</f>
        <v>0</v>
      </c>
    </row>
    <row r="81" spans="1:14" x14ac:dyDescent="0.25">
      <c r="A81" s="7" t="s">
        <v>30</v>
      </c>
      <c r="B81">
        <v>24030</v>
      </c>
      <c r="C81" s="8">
        <v>43375</v>
      </c>
      <c r="D81">
        <v>8020</v>
      </c>
      <c r="E81">
        <v>106</v>
      </c>
      <c r="F81" t="s">
        <v>2</v>
      </c>
      <c r="G81">
        <v>60</v>
      </c>
      <c r="H81">
        <v>300</v>
      </c>
      <c r="I81" s="10" t="str">
        <f>VLOOKUP(A81,MCompany[],2,FALSE)</f>
        <v>Meta Creations</v>
      </c>
      <c r="J81" s="10" t="str">
        <f>VLOOKUP(TableTemp[[#This Row],[Customer Code]],MCustomer[],2,FALSE)</f>
        <v>Erma</v>
      </c>
      <c r="K81" s="10" t="str">
        <f>VLOOKUP(TableTemp[[#This Row],[Article code]],MArticle[],2,FALSE)</f>
        <v>Men basics</v>
      </c>
      <c r="L81" s="10" t="str">
        <f>VLOOKUP(TableTemp[[#This Row],[Company]],MCompany[],3,FALSE)</f>
        <v>USD</v>
      </c>
      <c r="M81" s="15">
        <f>IF(TableTemp[[#This Row],[Currency]]="EUR",ROUND(VLOOKUP(MONTH(TableTemp[[#This Row],[Document Date]]),MExchange[],2,FALSE)*TableTemp[[#This Row],[Sales Local Currency]],2),ROUND(TableTemp[[#This Row],[Sales Local Currency]],2))</f>
        <v>300</v>
      </c>
      <c r="N81" s="52">
        <f>IF(TableTemp[[#This Row],[Reject]]="",0,TableTemp[[#This Row],[Reject]]/SUMIF(TableTemp[Company],Map!$B$9,TableTemp[Quantity]))</f>
        <v>0</v>
      </c>
    </row>
    <row r="82" spans="1:14" x14ac:dyDescent="0.25">
      <c r="A82" s="7" t="s">
        <v>30</v>
      </c>
      <c r="B82">
        <v>24030</v>
      </c>
      <c r="C82" s="8">
        <v>43375</v>
      </c>
      <c r="D82">
        <v>8020</v>
      </c>
      <c r="E82">
        <v>108</v>
      </c>
      <c r="G82">
        <v>80</v>
      </c>
      <c r="H82">
        <v>2240</v>
      </c>
      <c r="I82" s="10" t="str">
        <f>VLOOKUP(A82,MCompany[],2,FALSE)</f>
        <v>Meta Creations</v>
      </c>
      <c r="J82" s="10" t="str">
        <f>VLOOKUP(TableTemp[[#This Row],[Customer Code]],MCustomer[],2,FALSE)</f>
        <v>Erma</v>
      </c>
      <c r="K82" s="10" t="str">
        <f>VLOOKUP(TableTemp[[#This Row],[Article code]],MArticle[],2,FALSE)</f>
        <v>Laptop bag black</v>
      </c>
      <c r="L82" s="10" t="str">
        <f>VLOOKUP(TableTemp[[#This Row],[Company]],MCompany[],3,FALSE)</f>
        <v>USD</v>
      </c>
      <c r="M82" s="15">
        <f>IF(TableTemp[[#This Row],[Currency]]="EUR",ROUND(VLOOKUP(MONTH(TableTemp[[#This Row],[Document Date]]),MExchange[],2,FALSE)*TableTemp[[#This Row],[Sales Local Currency]],2),ROUND(TableTemp[[#This Row],[Sales Local Currency]],2))</f>
        <v>2240</v>
      </c>
      <c r="N82" s="52">
        <f>IF(TableTemp[[#This Row],[Reject]]="",0,TableTemp[[#This Row],[Reject]]/SUMIF(TableTemp[Company],Map!$B$9,TableTemp[Quantity]))</f>
        <v>0</v>
      </c>
    </row>
    <row r="83" spans="1:14" x14ac:dyDescent="0.25">
      <c r="A83" s="7" t="s">
        <v>30</v>
      </c>
      <c r="B83">
        <v>24031</v>
      </c>
      <c r="C83" s="8">
        <v>43381</v>
      </c>
      <c r="D83">
        <v>8020</v>
      </c>
      <c r="E83">
        <v>101</v>
      </c>
      <c r="F83" t="s">
        <v>2</v>
      </c>
      <c r="G83">
        <v>100</v>
      </c>
      <c r="H83">
        <v>1200</v>
      </c>
      <c r="I83" s="10" t="str">
        <f>VLOOKUP(A83,MCompany[],2,FALSE)</f>
        <v>Meta Creations</v>
      </c>
      <c r="J83" s="10" t="str">
        <f>VLOOKUP(TableTemp[[#This Row],[Customer Code]],MCustomer[],2,FALSE)</f>
        <v>Erma</v>
      </c>
      <c r="K83" s="10" t="str">
        <f>VLOOKUP(TableTemp[[#This Row],[Article code]],MArticle[],2,FALSE)</f>
        <v>Men type T simple white</v>
      </c>
      <c r="L83" s="10" t="str">
        <f>VLOOKUP(TableTemp[[#This Row],[Company]],MCompany[],3,FALSE)</f>
        <v>USD</v>
      </c>
      <c r="M83" s="15">
        <f>IF(TableTemp[[#This Row],[Currency]]="EUR",ROUND(VLOOKUP(MONTH(TableTemp[[#This Row],[Document Date]]),MExchange[],2,FALSE)*TableTemp[[#This Row],[Sales Local Currency]],2),ROUND(TableTemp[[#This Row],[Sales Local Currency]],2))</f>
        <v>1200</v>
      </c>
      <c r="N83" s="52">
        <f>IF(TableTemp[[#This Row],[Reject]]="",0,TableTemp[[#This Row],[Reject]]/SUMIF(TableTemp[Company],Map!$B$9,TableTemp[Quantity]))</f>
        <v>0</v>
      </c>
    </row>
    <row r="84" spans="1:14" x14ac:dyDescent="0.25">
      <c r="A84" s="7" t="s">
        <v>30</v>
      </c>
      <c r="B84">
        <v>24031</v>
      </c>
      <c r="C84" s="8">
        <v>43381</v>
      </c>
      <c r="D84">
        <v>8020</v>
      </c>
      <c r="E84">
        <v>108</v>
      </c>
      <c r="F84" t="s">
        <v>2</v>
      </c>
      <c r="G84">
        <v>20</v>
      </c>
      <c r="H84">
        <v>560</v>
      </c>
      <c r="I84" s="10" t="str">
        <f>VLOOKUP(A84,MCompany[],2,FALSE)</f>
        <v>Meta Creations</v>
      </c>
      <c r="J84" s="10" t="str">
        <f>VLOOKUP(TableTemp[[#This Row],[Customer Code]],MCustomer[],2,FALSE)</f>
        <v>Erma</v>
      </c>
      <c r="K84" s="10" t="str">
        <f>VLOOKUP(TableTemp[[#This Row],[Article code]],MArticle[],2,FALSE)</f>
        <v>Laptop bag black</v>
      </c>
      <c r="L84" s="10" t="str">
        <f>VLOOKUP(TableTemp[[#This Row],[Company]],MCompany[],3,FALSE)</f>
        <v>USD</v>
      </c>
      <c r="M84" s="15">
        <f>IF(TableTemp[[#This Row],[Currency]]="EUR",ROUND(VLOOKUP(MONTH(TableTemp[[#This Row],[Document Date]]),MExchange[],2,FALSE)*TableTemp[[#This Row],[Sales Local Currency]],2),ROUND(TableTemp[[#This Row],[Sales Local Currency]],2))</f>
        <v>560</v>
      </c>
      <c r="N84" s="52">
        <f>IF(TableTemp[[#This Row],[Reject]]="",0,TableTemp[[#This Row],[Reject]]/SUMIF(TableTemp[Company],Map!$B$9,TableTemp[Quantity]))</f>
        <v>0</v>
      </c>
    </row>
    <row r="85" spans="1:14" x14ac:dyDescent="0.25">
      <c r="A85" s="7" t="s">
        <v>30</v>
      </c>
      <c r="B85">
        <v>24031</v>
      </c>
      <c r="C85" s="8">
        <v>43381</v>
      </c>
      <c r="D85">
        <v>8020</v>
      </c>
      <c r="E85">
        <v>113</v>
      </c>
      <c r="F85" t="s">
        <v>2</v>
      </c>
      <c r="G85">
        <v>100</v>
      </c>
      <c r="H85">
        <v>2500</v>
      </c>
      <c r="I85" s="10" t="str">
        <f>VLOOKUP(A85,MCompany[],2,FALSE)</f>
        <v>Meta Creations</v>
      </c>
      <c r="J85" s="10" t="str">
        <f>VLOOKUP(TableTemp[[#This Row],[Customer Code]],MCustomer[],2,FALSE)</f>
        <v>Erma</v>
      </c>
      <c r="K85" s="10" t="str">
        <f>VLOOKUP(TableTemp[[#This Row],[Article code]],MArticle[],2,FALSE)</f>
        <v>Men dress shirt black</v>
      </c>
      <c r="L85" s="10" t="str">
        <f>VLOOKUP(TableTemp[[#This Row],[Company]],MCompany[],3,FALSE)</f>
        <v>USD</v>
      </c>
      <c r="M85" s="15">
        <f>IF(TableTemp[[#This Row],[Currency]]="EUR",ROUND(VLOOKUP(MONTH(TableTemp[[#This Row],[Document Date]]),MExchange[],2,FALSE)*TableTemp[[#This Row],[Sales Local Currency]],2),ROUND(TableTemp[[#This Row],[Sales Local Currency]],2))</f>
        <v>2500</v>
      </c>
      <c r="N85" s="52">
        <f>IF(TableTemp[[#This Row],[Reject]]="",0,TableTemp[[#This Row],[Reject]]/SUMIF(TableTemp[Company],Map!$B$9,TableTemp[Quantity]))</f>
        <v>0</v>
      </c>
    </row>
    <row r="86" spans="1:14" x14ac:dyDescent="0.25">
      <c r="A86" s="7" t="s">
        <v>30</v>
      </c>
      <c r="B86">
        <v>28112</v>
      </c>
      <c r="C86" s="8">
        <v>43385</v>
      </c>
      <c r="D86">
        <v>8020</v>
      </c>
      <c r="E86">
        <v>114</v>
      </c>
      <c r="F86">
        <v>1</v>
      </c>
      <c r="G86">
        <v>50</v>
      </c>
      <c r="H86">
        <v>1250</v>
      </c>
      <c r="I86" s="10" t="str">
        <f>VLOOKUP(A86,MCompany[],2,FALSE)</f>
        <v>Meta Creations</v>
      </c>
      <c r="J86" s="10" t="str">
        <f>VLOOKUP(TableTemp[[#This Row],[Customer Code]],MCustomer[],2,FALSE)</f>
        <v>Erma</v>
      </c>
      <c r="K86" s="10" t="str">
        <f>VLOOKUP(TableTemp[[#This Row],[Article code]],MArticle[],2,FALSE)</f>
        <v>Men dress shirt grey</v>
      </c>
      <c r="L86" s="10" t="str">
        <f>VLOOKUP(TableTemp[[#This Row],[Company]],MCompany[],3,FALSE)</f>
        <v>USD</v>
      </c>
      <c r="M86" s="15">
        <f>IF(TableTemp[[#This Row],[Currency]]="EUR",ROUND(VLOOKUP(MONTH(TableTemp[[#This Row],[Document Date]]),MExchange[],2,FALSE)*TableTemp[[#This Row],[Sales Local Currency]],2),ROUND(TableTemp[[#This Row],[Sales Local Currency]],2))</f>
        <v>1250</v>
      </c>
      <c r="N86" s="52">
        <f>IF(TableTemp[[#This Row],[Reject]]="",0,TableTemp[[#This Row],[Reject]]/SUMIF(TableTemp[Company],Map!$B$9,TableTemp[Quantity]))</f>
        <v>1.6339869281045751E-4</v>
      </c>
    </row>
    <row r="87" spans="1:14" x14ac:dyDescent="0.25">
      <c r="A87" s="7" t="s">
        <v>30</v>
      </c>
      <c r="B87">
        <v>28112</v>
      </c>
      <c r="C87" s="8">
        <v>43385</v>
      </c>
      <c r="D87">
        <v>8020</v>
      </c>
      <c r="E87">
        <v>101</v>
      </c>
      <c r="F87" t="s">
        <v>2</v>
      </c>
      <c r="G87">
        <v>40</v>
      </c>
      <c r="H87">
        <v>480</v>
      </c>
      <c r="I87" s="10" t="str">
        <f>VLOOKUP(A87,MCompany[],2,FALSE)</f>
        <v>Meta Creations</v>
      </c>
      <c r="J87" s="10" t="str">
        <f>VLOOKUP(TableTemp[[#This Row],[Customer Code]],MCustomer[],2,FALSE)</f>
        <v>Erma</v>
      </c>
      <c r="K87" s="10" t="str">
        <f>VLOOKUP(TableTemp[[#This Row],[Article code]],MArticle[],2,FALSE)</f>
        <v>Men type T simple white</v>
      </c>
      <c r="L87" s="10" t="str">
        <f>VLOOKUP(TableTemp[[#This Row],[Company]],MCompany[],3,FALSE)</f>
        <v>USD</v>
      </c>
      <c r="M87" s="15">
        <f>IF(TableTemp[[#This Row],[Currency]]="EUR",ROUND(VLOOKUP(MONTH(TableTemp[[#This Row],[Document Date]]),MExchange[],2,FALSE)*TableTemp[[#This Row],[Sales Local Currency]],2),ROUND(TableTemp[[#This Row],[Sales Local Currency]],2))</f>
        <v>480</v>
      </c>
      <c r="N87" s="52">
        <f>IF(TableTemp[[#This Row],[Reject]]="",0,TableTemp[[#This Row],[Reject]]/SUMIF(TableTemp[Company],Map!$B$9,TableTemp[Quantity]))</f>
        <v>0</v>
      </c>
    </row>
    <row r="88" spans="1:14" x14ac:dyDescent="0.25">
      <c r="A88" s="7" t="s">
        <v>30</v>
      </c>
      <c r="B88">
        <v>28112</v>
      </c>
      <c r="C88" s="8">
        <v>43385</v>
      </c>
      <c r="D88">
        <v>8020</v>
      </c>
      <c r="E88">
        <v>102</v>
      </c>
      <c r="G88">
        <v>70</v>
      </c>
      <c r="H88">
        <v>840</v>
      </c>
      <c r="I88" s="10" t="str">
        <f>VLOOKUP(A88,MCompany[],2,FALSE)</f>
        <v>Meta Creations</v>
      </c>
      <c r="J88" s="10" t="str">
        <f>VLOOKUP(TableTemp[[#This Row],[Customer Code]],MCustomer[],2,FALSE)</f>
        <v>Erma</v>
      </c>
      <c r="K88" s="10" t="str">
        <f>VLOOKUP(TableTemp[[#This Row],[Article code]],MArticle[],2,FALSE)</f>
        <v>Men type T simple black</v>
      </c>
      <c r="L88" s="10" t="str">
        <f>VLOOKUP(TableTemp[[#This Row],[Company]],MCompany[],3,FALSE)</f>
        <v>USD</v>
      </c>
      <c r="M88" s="15">
        <f>IF(TableTemp[[#This Row],[Currency]]="EUR",ROUND(VLOOKUP(MONTH(TableTemp[[#This Row],[Document Date]]),MExchange[],2,FALSE)*TableTemp[[#This Row],[Sales Local Currency]],2),ROUND(TableTemp[[#This Row],[Sales Local Currency]],2))</f>
        <v>840</v>
      </c>
      <c r="N88" s="52">
        <f>IF(TableTemp[[#This Row],[Reject]]="",0,TableTemp[[#This Row],[Reject]]/SUMIF(TableTemp[Company],Map!$B$9,TableTemp[Quantity]))</f>
        <v>0</v>
      </c>
    </row>
    <row r="89" spans="1:14" x14ac:dyDescent="0.25">
      <c r="A89" s="7" t="s">
        <v>30</v>
      </c>
      <c r="B89">
        <v>28112</v>
      </c>
      <c r="C89" s="8">
        <v>43385</v>
      </c>
      <c r="D89">
        <v>8020</v>
      </c>
      <c r="E89">
        <v>106</v>
      </c>
      <c r="G89">
        <v>70</v>
      </c>
      <c r="H89">
        <v>350</v>
      </c>
      <c r="I89" s="10" t="str">
        <f>VLOOKUP(A89,MCompany[],2,FALSE)</f>
        <v>Meta Creations</v>
      </c>
      <c r="J89" s="10" t="str">
        <f>VLOOKUP(TableTemp[[#This Row],[Customer Code]],MCustomer[],2,FALSE)</f>
        <v>Erma</v>
      </c>
      <c r="K89" s="10" t="str">
        <f>VLOOKUP(TableTemp[[#This Row],[Article code]],MArticle[],2,FALSE)</f>
        <v>Men basics</v>
      </c>
      <c r="L89" s="10" t="str">
        <f>VLOOKUP(TableTemp[[#This Row],[Company]],MCompany[],3,FALSE)</f>
        <v>USD</v>
      </c>
      <c r="M89" s="15">
        <f>IF(TableTemp[[#This Row],[Currency]]="EUR",ROUND(VLOOKUP(MONTH(TableTemp[[#This Row],[Document Date]]),MExchange[],2,FALSE)*TableTemp[[#This Row],[Sales Local Currency]],2),ROUND(TableTemp[[#This Row],[Sales Local Currency]],2))</f>
        <v>350</v>
      </c>
      <c r="N89" s="52">
        <f>IF(TableTemp[[#This Row],[Reject]]="",0,TableTemp[[#This Row],[Reject]]/SUMIF(TableTemp[Company],Map!$B$9,TableTemp[Quantity]))</f>
        <v>0</v>
      </c>
    </row>
    <row r="90" spans="1:14" x14ac:dyDescent="0.25">
      <c r="A90" s="7" t="s">
        <v>30</v>
      </c>
      <c r="B90">
        <v>28112</v>
      </c>
      <c r="C90" s="8">
        <v>43385</v>
      </c>
      <c r="D90">
        <v>8020</v>
      </c>
      <c r="E90">
        <v>108</v>
      </c>
      <c r="G90">
        <v>10</v>
      </c>
      <c r="H90">
        <v>280</v>
      </c>
      <c r="I90" s="10" t="str">
        <f>VLOOKUP(A90,MCompany[],2,FALSE)</f>
        <v>Meta Creations</v>
      </c>
      <c r="J90" s="10" t="str">
        <f>VLOOKUP(TableTemp[[#This Row],[Customer Code]],MCustomer[],2,FALSE)</f>
        <v>Erma</v>
      </c>
      <c r="K90" s="10" t="str">
        <f>VLOOKUP(TableTemp[[#This Row],[Article code]],MArticle[],2,FALSE)</f>
        <v>Laptop bag black</v>
      </c>
      <c r="L90" s="10" t="str">
        <f>VLOOKUP(TableTemp[[#This Row],[Company]],MCompany[],3,FALSE)</f>
        <v>USD</v>
      </c>
      <c r="M90" s="15">
        <f>IF(TableTemp[[#This Row],[Currency]]="EUR",ROUND(VLOOKUP(MONTH(TableTemp[[#This Row],[Document Date]]),MExchange[],2,FALSE)*TableTemp[[#This Row],[Sales Local Currency]],2),ROUND(TableTemp[[#This Row],[Sales Local Currency]],2))</f>
        <v>280</v>
      </c>
      <c r="N90" s="52">
        <f>IF(TableTemp[[#This Row],[Reject]]="",0,TableTemp[[#This Row],[Reject]]/SUMIF(TableTemp[Company],Map!$B$9,TableTemp[Quantity]))</f>
        <v>0</v>
      </c>
    </row>
    <row r="91" spans="1:14" x14ac:dyDescent="0.25">
      <c r="A91" s="7" t="s">
        <v>30</v>
      </c>
      <c r="B91">
        <v>28112</v>
      </c>
      <c r="C91" s="8">
        <v>43385</v>
      </c>
      <c r="D91">
        <v>8020</v>
      </c>
      <c r="E91">
        <v>117</v>
      </c>
      <c r="G91">
        <v>80</v>
      </c>
      <c r="H91">
        <v>1440</v>
      </c>
      <c r="I91" s="10" t="str">
        <f>VLOOKUP(A91,MCompany[],2,FALSE)</f>
        <v>Meta Creations</v>
      </c>
      <c r="J91" s="10" t="str">
        <f>VLOOKUP(TableTemp[[#This Row],[Customer Code]],MCustomer[],2,FALSE)</f>
        <v>Erma</v>
      </c>
      <c r="K91" s="10" t="str">
        <f>VLOOKUP(TableTemp[[#This Row],[Article code]],MArticle[],2,FALSE)</f>
        <v>Men shorts grey</v>
      </c>
      <c r="L91" s="10" t="str">
        <f>VLOOKUP(TableTemp[[#This Row],[Company]],MCompany[],3,FALSE)</f>
        <v>USD</v>
      </c>
      <c r="M91" s="15">
        <f>IF(TableTemp[[#This Row],[Currency]]="EUR",ROUND(VLOOKUP(MONTH(TableTemp[[#This Row],[Document Date]]),MExchange[],2,FALSE)*TableTemp[[#This Row],[Sales Local Currency]],2),ROUND(TableTemp[[#This Row],[Sales Local Currency]],2))</f>
        <v>1440</v>
      </c>
      <c r="N91" s="52">
        <f>IF(TableTemp[[#This Row],[Reject]]="",0,TableTemp[[#This Row],[Reject]]/SUMIF(TableTemp[Company],Map!$B$9,TableTemp[Quantity]))</f>
        <v>0</v>
      </c>
    </row>
    <row r="92" spans="1:14" x14ac:dyDescent="0.25">
      <c r="A92" s="7" t="s">
        <v>30</v>
      </c>
      <c r="B92">
        <v>28112</v>
      </c>
      <c r="C92" s="8">
        <v>43385</v>
      </c>
      <c r="D92">
        <v>8020</v>
      </c>
      <c r="E92">
        <v>118</v>
      </c>
      <c r="G92">
        <v>70</v>
      </c>
      <c r="H92">
        <v>1260</v>
      </c>
      <c r="I92" s="10" t="str">
        <f>VLOOKUP(A92,MCompany[],2,FALSE)</f>
        <v>Meta Creations</v>
      </c>
      <c r="J92" s="10" t="str">
        <f>VLOOKUP(TableTemp[[#This Row],[Customer Code]],MCustomer[],2,FALSE)</f>
        <v>Erma</v>
      </c>
      <c r="K92" s="10" t="str">
        <f>VLOOKUP(TableTemp[[#This Row],[Article code]],MArticle[],2,FALSE)</f>
        <v>Men shorts black</v>
      </c>
      <c r="L92" s="10" t="str">
        <f>VLOOKUP(TableTemp[[#This Row],[Company]],MCompany[],3,FALSE)</f>
        <v>USD</v>
      </c>
      <c r="M92" s="15">
        <f>IF(TableTemp[[#This Row],[Currency]]="EUR",ROUND(VLOOKUP(MONTH(TableTemp[[#This Row],[Document Date]]),MExchange[],2,FALSE)*TableTemp[[#This Row],[Sales Local Currency]],2),ROUND(TableTemp[[#This Row],[Sales Local Currency]],2))</f>
        <v>1260</v>
      </c>
      <c r="N92" s="52">
        <f>IF(TableTemp[[#This Row],[Reject]]="",0,TableTemp[[#This Row],[Reject]]/SUMIF(TableTemp[Company],Map!$B$9,TableTemp[Quantity]))</f>
        <v>0</v>
      </c>
    </row>
    <row r="93" spans="1:14" x14ac:dyDescent="0.25">
      <c r="A93" s="7" t="s">
        <v>30</v>
      </c>
      <c r="B93">
        <v>25442</v>
      </c>
      <c r="C93" s="8">
        <v>43389</v>
      </c>
      <c r="D93">
        <v>8010</v>
      </c>
      <c r="E93">
        <v>118</v>
      </c>
      <c r="G93">
        <v>70</v>
      </c>
      <c r="H93">
        <v>1260</v>
      </c>
      <c r="I93" s="10" t="str">
        <f>VLOOKUP(A93,MCompany[],2,FALSE)</f>
        <v>Meta Creations</v>
      </c>
      <c r="J93" s="10" t="str">
        <f>VLOOKUP(TableTemp[[#This Row],[Customer Code]],MCustomer[],2,FALSE)</f>
        <v>Dellicia</v>
      </c>
      <c r="K93" s="10" t="str">
        <f>VLOOKUP(TableTemp[[#This Row],[Article code]],MArticle[],2,FALSE)</f>
        <v>Men shorts black</v>
      </c>
      <c r="L93" s="10" t="str">
        <f>VLOOKUP(TableTemp[[#This Row],[Company]],MCompany[],3,FALSE)</f>
        <v>USD</v>
      </c>
      <c r="M93" s="15">
        <f>IF(TableTemp[[#This Row],[Currency]]="EUR",ROUND(VLOOKUP(MONTH(TableTemp[[#This Row],[Document Date]]),MExchange[],2,FALSE)*TableTemp[[#This Row],[Sales Local Currency]],2),ROUND(TableTemp[[#This Row],[Sales Local Currency]],2))</f>
        <v>1260</v>
      </c>
      <c r="N93" s="52">
        <f>IF(TableTemp[[#This Row],[Reject]]="",0,TableTemp[[#This Row],[Reject]]/SUMIF(TableTemp[Company],Map!$B$9,TableTemp[Quantity]))</f>
        <v>0</v>
      </c>
    </row>
    <row r="94" spans="1:14" x14ac:dyDescent="0.25">
      <c r="A94" s="7" t="s">
        <v>30</v>
      </c>
      <c r="B94">
        <v>25442</v>
      </c>
      <c r="C94" s="8">
        <v>43389</v>
      </c>
      <c r="D94">
        <v>8010</v>
      </c>
      <c r="E94">
        <v>117</v>
      </c>
      <c r="F94">
        <v>6</v>
      </c>
      <c r="G94">
        <v>80</v>
      </c>
      <c r="H94">
        <v>1440</v>
      </c>
      <c r="I94" s="10" t="str">
        <f>VLOOKUP(A94,MCompany[],2,FALSE)</f>
        <v>Meta Creations</v>
      </c>
      <c r="J94" s="10" t="str">
        <f>VLOOKUP(TableTemp[[#This Row],[Customer Code]],MCustomer[],2,FALSE)</f>
        <v>Dellicia</v>
      </c>
      <c r="K94" s="10" t="str">
        <f>VLOOKUP(TableTemp[[#This Row],[Article code]],MArticle[],2,FALSE)</f>
        <v>Men shorts grey</v>
      </c>
      <c r="L94" s="10" t="str">
        <f>VLOOKUP(TableTemp[[#This Row],[Company]],MCompany[],3,FALSE)</f>
        <v>USD</v>
      </c>
      <c r="M94" s="15">
        <f>IF(TableTemp[[#This Row],[Currency]]="EUR",ROUND(VLOOKUP(MONTH(TableTemp[[#This Row],[Document Date]]),MExchange[],2,FALSE)*TableTemp[[#This Row],[Sales Local Currency]],2),ROUND(TableTemp[[#This Row],[Sales Local Currency]],2))</f>
        <v>1440</v>
      </c>
      <c r="N94" s="52">
        <f>IF(TableTemp[[#This Row],[Reject]]="",0,TableTemp[[#This Row],[Reject]]/SUMIF(TableTemp[Company],Map!$B$9,TableTemp[Quantity]))</f>
        <v>9.8039215686274508E-4</v>
      </c>
    </row>
    <row r="95" spans="1:14" x14ac:dyDescent="0.25">
      <c r="A95" s="7" t="s">
        <v>30</v>
      </c>
      <c r="B95">
        <v>25442</v>
      </c>
      <c r="C95" s="8">
        <v>43389</v>
      </c>
      <c r="D95">
        <v>8010</v>
      </c>
      <c r="E95">
        <v>118</v>
      </c>
      <c r="G95">
        <v>70</v>
      </c>
      <c r="H95">
        <v>1260</v>
      </c>
      <c r="I95" s="10" t="str">
        <f>VLOOKUP(A95,MCompany[],2,FALSE)</f>
        <v>Meta Creations</v>
      </c>
      <c r="J95" s="10" t="str">
        <f>VLOOKUP(TableTemp[[#This Row],[Customer Code]],MCustomer[],2,FALSE)</f>
        <v>Dellicia</v>
      </c>
      <c r="K95" s="10" t="str">
        <f>VLOOKUP(TableTemp[[#This Row],[Article code]],MArticle[],2,FALSE)</f>
        <v>Men shorts black</v>
      </c>
      <c r="L95" s="10" t="str">
        <f>VLOOKUP(TableTemp[[#This Row],[Company]],MCompany[],3,FALSE)</f>
        <v>USD</v>
      </c>
      <c r="M95" s="15">
        <f>IF(TableTemp[[#This Row],[Currency]]="EUR",ROUND(VLOOKUP(MONTH(TableTemp[[#This Row],[Document Date]]),MExchange[],2,FALSE)*TableTemp[[#This Row],[Sales Local Currency]],2),ROUND(TableTemp[[#This Row],[Sales Local Currency]],2))</f>
        <v>1260</v>
      </c>
      <c r="N95" s="52">
        <f>IF(TableTemp[[#This Row],[Reject]]="",0,TableTemp[[#This Row],[Reject]]/SUMIF(TableTemp[Company],Map!$B$9,TableTemp[Quantity]))</f>
        <v>0</v>
      </c>
    </row>
    <row r="96" spans="1:14" x14ac:dyDescent="0.25">
      <c r="A96" s="7" t="s">
        <v>30</v>
      </c>
      <c r="B96">
        <v>25442</v>
      </c>
      <c r="C96" s="8">
        <v>43389</v>
      </c>
      <c r="D96">
        <v>8010</v>
      </c>
      <c r="E96">
        <v>116</v>
      </c>
      <c r="F96">
        <v>1</v>
      </c>
      <c r="G96">
        <v>60</v>
      </c>
      <c r="H96">
        <v>360</v>
      </c>
      <c r="I96" s="10" t="str">
        <f>VLOOKUP(A96,MCompany[],2,FALSE)</f>
        <v>Meta Creations</v>
      </c>
      <c r="J96" s="10" t="str">
        <f>VLOOKUP(TableTemp[[#This Row],[Customer Code]],MCustomer[],2,FALSE)</f>
        <v>Dellicia</v>
      </c>
      <c r="K96" s="10" t="str">
        <f>VLOOKUP(TableTemp[[#This Row],[Article code]],MArticle[],2,FALSE)</f>
        <v>Unisex tank top white</v>
      </c>
      <c r="L96" s="10" t="str">
        <f>VLOOKUP(TableTemp[[#This Row],[Company]],MCompany[],3,FALSE)</f>
        <v>USD</v>
      </c>
      <c r="M96" s="15">
        <f>IF(TableTemp[[#This Row],[Currency]]="EUR",ROUND(VLOOKUP(MONTH(TableTemp[[#This Row],[Document Date]]),MExchange[],2,FALSE)*TableTemp[[#This Row],[Sales Local Currency]],2),ROUND(TableTemp[[#This Row],[Sales Local Currency]],2))</f>
        <v>360</v>
      </c>
      <c r="N96" s="52">
        <f>IF(TableTemp[[#This Row],[Reject]]="",0,TableTemp[[#This Row],[Reject]]/SUMIF(TableTemp[Company],Map!$B$9,TableTemp[Quantity]))</f>
        <v>1.6339869281045751E-4</v>
      </c>
    </row>
    <row r="97" spans="1:14" x14ac:dyDescent="0.25">
      <c r="A97" s="7" t="s">
        <v>30</v>
      </c>
      <c r="B97">
        <v>25442</v>
      </c>
      <c r="C97" s="8">
        <v>43389</v>
      </c>
      <c r="D97">
        <v>8010</v>
      </c>
      <c r="E97">
        <v>106</v>
      </c>
      <c r="G97">
        <v>20</v>
      </c>
      <c r="H97">
        <v>100</v>
      </c>
      <c r="I97" s="10" t="str">
        <f>VLOOKUP(A97,MCompany[],2,FALSE)</f>
        <v>Meta Creations</v>
      </c>
      <c r="J97" s="10" t="str">
        <f>VLOOKUP(TableTemp[[#This Row],[Customer Code]],MCustomer[],2,FALSE)</f>
        <v>Dellicia</v>
      </c>
      <c r="K97" s="10" t="str">
        <f>VLOOKUP(TableTemp[[#This Row],[Article code]],MArticle[],2,FALSE)</f>
        <v>Men basics</v>
      </c>
      <c r="L97" s="10" t="str">
        <f>VLOOKUP(TableTemp[[#This Row],[Company]],MCompany[],3,FALSE)</f>
        <v>USD</v>
      </c>
      <c r="M97" s="15">
        <f>IF(TableTemp[[#This Row],[Currency]]="EUR",ROUND(VLOOKUP(MONTH(TableTemp[[#This Row],[Document Date]]),MExchange[],2,FALSE)*TableTemp[[#This Row],[Sales Local Currency]],2),ROUND(TableTemp[[#This Row],[Sales Local Currency]],2))</f>
        <v>100</v>
      </c>
      <c r="N97" s="52">
        <f>IF(TableTemp[[#This Row],[Reject]]="",0,TableTemp[[#This Row],[Reject]]/SUMIF(TableTemp[Company],Map!$B$9,TableTemp[Quantity]))</f>
        <v>0</v>
      </c>
    </row>
    <row r="98" spans="1:14" x14ac:dyDescent="0.25">
      <c r="A98" s="7" t="s">
        <v>30</v>
      </c>
      <c r="B98">
        <v>25442</v>
      </c>
      <c r="C98" s="8">
        <v>43389</v>
      </c>
      <c r="D98">
        <v>8010</v>
      </c>
      <c r="E98">
        <v>101</v>
      </c>
      <c r="G98">
        <v>40</v>
      </c>
      <c r="H98">
        <v>480</v>
      </c>
      <c r="I98" s="10" t="str">
        <f>VLOOKUP(A98,MCompany[],2,FALSE)</f>
        <v>Meta Creations</v>
      </c>
      <c r="J98" s="10" t="str">
        <f>VLOOKUP(TableTemp[[#This Row],[Customer Code]],MCustomer[],2,FALSE)</f>
        <v>Dellicia</v>
      </c>
      <c r="K98" s="10" t="str">
        <f>VLOOKUP(TableTemp[[#This Row],[Article code]],MArticle[],2,FALSE)</f>
        <v>Men type T simple white</v>
      </c>
      <c r="L98" s="10" t="str">
        <f>VLOOKUP(TableTemp[[#This Row],[Company]],MCompany[],3,FALSE)</f>
        <v>USD</v>
      </c>
      <c r="M98" s="15">
        <f>IF(TableTemp[[#This Row],[Currency]]="EUR",ROUND(VLOOKUP(MONTH(TableTemp[[#This Row],[Document Date]]),MExchange[],2,FALSE)*TableTemp[[#This Row],[Sales Local Currency]],2),ROUND(TableTemp[[#This Row],[Sales Local Currency]],2))</f>
        <v>480</v>
      </c>
      <c r="N98" s="52">
        <f>IF(TableTemp[[#This Row],[Reject]]="",0,TableTemp[[#This Row],[Reject]]/SUMIF(TableTemp[Company],Map!$B$9,TableTemp[Quantity]))</f>
        <v>0</v>
      </c>
    </row>
    <row r="99" spans="1:14" x14ac:dyDescent="0.25">
      <c r="A99" s="7" t="s">
        <v>30</v>
      </c>
      <c r="B99">
        <v>25442</v>
      </c>
      <c r="C99" s="8">
        <v>43389</v>
      </c>
      <c r="D99">
        <v>8010</v>
      </c>
      <c r="E99">
        <v>102</v>
      </c>
      <c r="G99">
        <v>10</v>
      </c>
      <c r="H99">
        <v>120</v>
      </c>
      <c r="I99" s="10" t="str">
        <f>VLOOKUP(A99,MCompany[],2,FALSE)</f>
        <v>Meta Creations</v>
      </c>
      <c r="J99" s="10" t="str">
        <f>VLOOKUP(TableTemp[[#This Row],[Customer Code]],MCustomer[],2,FALSE)</f>
        <v>Dellicia</v>
      </c>
      <c r="K99" s="10" t="str">
        <f>VLOOKUP(TableTemp[[#This Row],[Article code]],MArticle[],2,FALSE)</f>
        <v>Men type T simple black</v>
      </c>
      <c r="L99" s="10" t="str">
        <f>VLOOKUP(TableTemp[[#This Row],[Company]],MCompany[],3,FALSE)</f>
        <v>USD</v>
      </c>
      <c r="M99" s="15">
        <f>IF(TableTemp[[#This Row],[Currency]]="EUR",ROUND(VLOOKUP(MONTH(TableTemp[[#This Row],[Document Date]]),MExchange[],2,FALSE)*TableTemp[[#This Row],[Sales Local Currency]],2),ROUND(TableTemp[[#This Row],[Sales Local Currency]],2))</f>
        <v>120</v>
      </c>
      <c r="N99" s="52">
        <f>IF(TableTemp[[#This Row],[Reject]]="",0,TableTemp[[#This Row],[Reject]]/SUMIF(TableTemp[Company],Map!$B$9,TableTemp[Quantity]))</f>
        <v>0</v>
      </c>
    </row>
    <row r="100" spans="1:14" x14ac:dyDescent="0.25">
      <c r="A100" s="7" t="s">
        <v>29</v>
      </c>
      <c r="B100">
        <v>66030</v>
      </c>
      <c r="C100" s="8">
        <v>43377</v>
      </c>
      <c r="D100">
        <v>8010</v>
      </c>
      <c r="E100">
        <v>103</v>
      </c>
      <c r="F100" t="s">
        <v>2</v>
      </c>
      <c r="G100">
        <v>120</v>
      </c>
      <c r="H100">
        <v>1440</v>
      </c>
      <c r="I100" s="10" t="str">
        <f>VLOOKUP(A100,MCompany[],2,FALSE)</f>
        <v>Urban Right</v>
      </c>
      <c r="J100" s="10" t="str">
        <f>VLOOKUP(TableTemp[[#This Row],[Customer Code]],MCustomer[],2,FALSE)</f>
        <v>Dellicia</v>
      </c>
      <c r="K100" s="10" t="str">
        <f>VLOOKUP(TableTemp[[#This Row],[Article code]],MArticle[],2,FALSE)</f>
        <v>Women type T simple white</v>
      </c>
      <c r="L100" s="10" t="str">
        <f>VLOOKUP(TableTemp[[#This Row],[Company]],MCompany[],3,FALSE)</f>
        <v>USD</v>
      </c>
      <c r="M100" s="15">
        <f>IF(TableTemp[[#This Row],[Currency]]="EUR",ROUND(VLOOKUP(MONTH(TableTemp[[#This Row],[Document Date]]),MExchange[],2,FALSE)*TableTemp[[#This Row],[Sales Local Currency]],2),ROUND(TableTemp[[#This Row],[Sales Local Currency]],2))</f>
        <v>1440</v>
      </c>
      <c r="N100" s="52">
        <f>IF(TableTemp[[#This Row],[Reject]]="",0,TableTemp[[#This Row],[Reject]]/SUMIF(TableTemp[Company],Map!$B$9,TableTemp[Quantity]))</f>
        <v>0</v>
      </c>
    </row>
    <row r="101" spans="1:14" x14ac:dyDescent="0.25">
      <c r="A101" s="7" t="s">
        <v>29</v>
      </c>
      <c r="B101">
        <v>66030</v>
      </c>
      <c r="C101" s="8">
        <v>43377</v>
      </c>
      <c r="D101">
        <v>8010</v>
      </c>
      <c r="E101">
        <v>104</v>
      </c>
      <c r="G101">
        <v>150</v>
      </c>
      <c r="H101">
        <v>1800</v>
      </c>
      <c r="I101" s="10" t="str">
        <f>VLOOKUP(A101,MCompany[],2,FALSE)</f>
        <v>Urban Right</v>
      </c>
      <c r="J101" s="10" t="str">
        <f>VLOOKUP(TableTemp[[#This Row],[Customer Code]],MCustomer[],2,FALSE)</f>
        <v>Dellicia</v>
      </c>
      <c r="K101" s="10" t="str">
        <f>VLOOKUP(TableTemp[[#This Row],[Article code]],MArticle[],2,FALSE)</f>
        <v>Women type T simple black</v>
      </c>
      <c r="L101" s="10" t="str">
        <f>VLOOKUP(TableTemp[[#This Row],[Company]],MCompany[],3,FALSE)</f>
        <v>USD</v>
      </c>
      <c r="M101" s="15">
        <f>IF(TableTemp[[#This Row],[Currency]]="EUR",ROUND(VLOOKUP(MONTH(TableTemp[[#This Row],[Document Date]]),MExchange[],2,FALSE)*TableTemp[[#This Row],[Sales Local Currency]],2),ROUND(TableTemp[[#This Row],[Sales Local Currency]],2))</f>
        <v>1800</v>
      </c>
      <c r="N101" s="52">
        <f>IF(TableTemp[[#This Row],[Reject]]="",0,TableTemp[[#This Row],[Reject]]/SUMIF(TableTemp[Company],Map!$B$9,TableTemp[Quantity]))</f>
        <v>0</v>
      </c>
    </row>
    <row r="102" spans="1:14" x14ac:dyDescent="0.25">
      <c r="A102" s="7" t="s">
        <v>29</v>
      </c>
      <c r="B102">
        <v>66032</v>
      </c>
      <c r="C102" s="8">
        <v>43380</v>
      </c>
      <c r="D102">
        <v>8010</v>
      </c>
      <c r="E102">
        <v>103</v>
      </c>
      <c r="G102">
        <v>170</v>
      </c>
      <c r="H102">
        <v>2040</v>
      </c>
      <c r="I102" s="10" t="str">
        <f>VLOOKUP(A102,MCompany[],2,FALSE)</f>
        <v>Urban Right</v>
      </c>
      <c r="J102" s="10" t="str">
        <f>VLOOKUP(TableTemp[[#This Row],[Customer Code]],MCustomer[],2,FALSE)</f>
        <v>Dellicia</v>
      </c>
      <c r="K102" s="10" t="str">
        <f>VLOOKUP(TableTemp[[#This Row],[Article code]],MArticle[],2,FALSE)</f>
        <v>Women type T simple white</v>
      </c>
      <c r="L102" s="10" t="str">
        <f>VLOOKUP(TableTemp[[#This Row],[Company]],MCompany[],3,FALSE)</f>
        <v>USD</v>
      </c>
      <c r="M102" s="15">
        <f>IF(TableTemp[[#This Row],[Currency]]="EUR",ROUND(VLOOKUP(MONTH(TableTemp[[#This Row],[Document Date]]),MExchange[],2,FALSE)*TableTemp[[#This Row],[Sales Local Currency]],2),ROUND(TableTemp[[#This Row],[Sales Local Currency]],2))</f>
        <v>2040</v>
      </c>
      <c r="N102" s="52">
        <f>IF(TableTemp[[#This Row],[Reject]]="",0,TableTemp[[#This Row],[Reject]]/SUMIF(TableTemp[Company],Map!$B$9,TableTemp[Quantity]))</f>
        <v>0</v>
      </c>
    </row>
    <row r="103" spans="1:14" x14ac:dyDescent="0.25">
      <c r="A103" s="7" t="s">
        <v>29</v>
      </c>
      <c r="B103">
        <v>66032</v>
      </c>
      <c r="C103" s="8">
        <v>43380</v>
      </c>
      <c r="D103">
        <v>8010</v>
      </c>
      <c r="E103">
        <v>104</v>
      </c>
      <c r="G103">
        <v>140</v>
      </c>
      <c r="H103">
        <v>1680</v>
      </c>
      <c r="I103" s="10" t="str">
        <f>VLOOKUP(A103,MCompany[],2,FALSE)</f>
        <v>Urban Right</v>
      </c>
      <c r="J103" s="10" t="str">
        <f>VLOOKUP(TableTemp[[#This Row],[Customer Code]],MCustomer[],2,FALSE)</f>
        <v>Dellicia</v>
      </c>
      <c r="K103" s="10" t="str">
        <f>VLOOKUP(TableTemp[[#This Row],[Article code]],MArticle[],2,FALSE)</f>
        <v>Women type T simple black</v>
      </c>
      <c r="L103" s="10" t="str">
        <f>VLOOKUP(TableTemp[[#This Row],[Company]],MCompany[],3,FALSE)</f>
        <v>USD</v>
      </c>
      <c r="M103" s="15">
        <f>IF(TableTemp[[#This Row],[Currency]]="EUR",ROUND(VLOOKUP(MONTH(TableTemp[[#This Row],[Document Date]]),MExchange[],2,FALSE)*TableTemp[[#This Row],[Sales Local Currency]],2),ROUND(TableTemp[[#This Row],[Sales Local Currency]],2))</f>
        <v>1680</v>
      </c>
      <c r="N103" s="52">
        <f>IF(TableTemp[[#This Row],[Reject]]="",0,TableTemp[[#This Row],[Reject]]/SUMIF(TableTemp[Company],Map!$B$9,TableTemp[Quantity]))</f>
        <v>0</v>
      </c>
    </row>
    <row r="104" spans="1:14" x14ac:dyDescent="0.25">
      <c r="A104" s="7" t="s">
        <v>29</v>
      </c>
      <c r="B104">
        <v>66031</v>
      </c>
      <c r="C104" s="8">
        <v>43381</v>
      </c>
      <c r="D104">
        <v>8020</v>
      </c>
      <c r="E104">
        <v>103</v>
      </c>
      <c r="F104">
        <v>1</v>
      </c>
      <c r="G104">
        <v>140</v>
      </c>
      <c r="H104">
        <v>1680</v>
      </c>
      <c r="I104" s="10" t="str">
        <f>VLOOKUP(A104,MCompany[],2,FALSE)</f>
        <v>Urban Right</v>
      </c>
      <c r="J104" s="10" t="str">
        <f>VLOOKUP(TableTemp[[#This Row],[Customer Code]],MCustomer[],2,FALSE)</f>
        <v>Erma</v>
      </c>
      <c r="K104" s="10" t="str">
        <f>VLOOKUP(TableTemp[[#This Row],[Article code]],MArticle[],2,FALSE)</f>
        <v>Women type T simple white</v>
      </c>
      <c r="L104" s="10" t="str">
        <f>VLOOKUP(TableTemp[[#This Row],[Company]],MCompany[],3,FALSE)</f>
        <v>USD</v>
      </c>
      <c r="M104" s="15">
        <f>IF(TableTemp[[#This Row],[Currency]]="EUR",ROUND(VLOOKUP(MONTH(TableTemp[[#This Row],[Document Date]]),MExchange[],2,FALSE)*TableTemp[[#This Row],[Sales Local Currency]],2),ROUND(TableTemp[[#This Row],[Sales Local Currency]],2))</f>
        <v>1680</v>
      </c>
      <c r="N104" s="52">
        <f>IF(TableTemp[[#This Row],[Reject]]="",0,TableTemp[[#This Row],[Reject]]/SUMIF(TableTemp[Company],Map!$B$9,TableTemp[Quantity]))</f>
        <v>1.6339869281045751E-4</v>
      </c>
    </row>
    <row r="105" spans="1:14" x14ac:dyDescent="0.25">
      <c r="A105" s="7" t="s">
        <v>29</v>
      </c>
      <c r="B105">
        <v>66031</v>
      </c>
      <c r="C105" s="8">
        <v>43381</v>
      </c>
      <c r="D105">
        <v>8020</v>
      </c>
      <c r="E105">
        <v>104</v>
      </c>
      <c r="G105">
        <v>150</v>
      </c>
      <c r="H105">
        <v>1800</v>
      </c>
      <c r="I105" s="10" t="str">
        <f>VLOOKUP(A105,MCompany[],2,FALSE)</f>
        <v>Urban Right</v>
      </c>
      <c r="J105" s="10" t="str">
        <f>VLOOKUP(TableTemp[[#This Row],[Customer Code]],MCustomer[],2,FALSE)</f>
        <v>Erma</v>
      </c>
      <c r="K105" s="10" t="str">
        <f>VLOOKUP(TableTemp[[#This Row],[Article code]],MArticle[],2,FALSE)</f>
        <v>Women type T simple black</v>
      </c>
      <c r="L105" s="10" t="str">
        <f>VLOOKUP(TableTemp[[#This Row],[Company]],MCompany[],3,FALSE)</f>
        <v>USD</v>
      </c>
      <c r="M105" s="15">
        <f>IF(TableTemp[[#This Row],[Currency]]="EUR",ROUND(VLOOKUP(MONTH(TableTemp[[#This Row],[Document Date]]),MExchange[],2,FALSE)*TableTemp[[#This Row],[Sales Local Currency]],2),ROUND(TableTemp[[#This Row],[Sales Local Currency]],2))</f>
        <v>1800</v>
      </c>
      <c r="N105" s="52">
        <f>IF(TableTemp[[#This Row],[Reject]]="",0,TableTemp[[#This Row],[Reject]]/SUMIF(TableTemp[Company],Map!$B$9,TableTemp[Quantity]))</f>
        <v>0</v>
      </c>
    </row>
    <row r="106" spans="1:14" x14ac:dyDescent="0.25">
      <c r="A106" s="7" t="s">
        <v>29</v>
      </c>
      <c r="B106">
        <v>66031</v>
      </c>
      <c r="C106" s="8">
        <v>43381</v>
      </c>
      <c r="D106">
        <v>8020</v>
      </c>
      <c r="E106">
        <v>105</v>
      </c>
      <c r="G106">
        <v>100</v>
      </c>
      <c r="H106">
        <v>1000</v>
      </c>
      <c r="I106" s="10" t="str">
        <f>VLOOKUP(A106,MCompany[],2,FALSE)</f>
        <v>Urban Right</v>
      </c>
      <c r="J106" s="10" t="str">
        <f>VLOOKUP(TableTemp[[#This Row],[Customer Code]],MCustomer[],2,FALSE)</f>
        <v>Erma</v>
      </c>
      <c r="K106" s="10" t="str">
        <f>VLOOKUP(TableTemp[[#This Row],[Article code]],MArticle[],2,FALSE)</f>
        <v>Women crop top black</v>
      </c>
      <c r="L106" s="10" t="str">
        <f>VLOOKUP(TableTemp[[#This Row],[Company]],MCompany[],3,FALSE)</f>
        <v>USD</v>
      </c>
      <c r="M106" s="15">
        <f>IF(TableTemp[[#This Row],[Currency]]="EUR",ROUND(VLOOKUP(MONTH(TableTemp[[#This Row],[Document Date]]),MExchange[],2,FALSE)*TableTemp[[#This Row],[Sales Local Currency]],2),ROUND(TableTemp[[#This Row],[Sales Local Currency]],2))</f>
        <v>1000</v>
      </c>
      <c r="N106" s="52">
        <f>IF(TableTemp[[#This Row],[Reject]]="",0,TableTemp[[#This Row],[Reject]]/SUMIF(TableTemp[Company],Map!$B$9,TableTemp[Quantity]))</f>
        <v>0</v>
      </c>
    </row>
    <row r="107" spans="1:14" x14ac:dyDescent="0.25">
      <c r="A107" s="7" t="s">
        <v>29</v>
      </c>
      <c r="B107">
        <v>68112</v>
      </c>
      <c r="C107" s="8">
        <v>43384</v>
      </c>
      <c r="D107">
        <v>8010</v>
      </c>
      <c r="E107">
        <v>104</v>
      </c>
      <c r="F107">
        <v>4</v>
      </c>
      <c r="G107">
        <v>180</v>
      </c>
      <c r="H107">
        <v>2160</v>
      </c>
      <c r="I107" s="10" t="str">
        <f>VLOOKUP(A107,MCompany[],2,FALSE)</f>
        <v>Urban Right</v>
      </c>
      <c r="J107" s="10" t="str">
        <f>VLOOKUP(TableTemp[[#This Row],[Customer Code]],MCustomer[],2,FALSE)</f>
        <v>Dellicia</v>
      </c>
      <c r="K107" s="10" t="str">
        <f>VLOOKUP(TableTemp[[#This Row],[Article code]],MArticle[],2,FALSE)</f>
        <v>Women type T simple black</v>
      </c>
      <c r="L107" s="10" t="str">
        <f>VLOOKUP(TableTemp[[#This Row],[Company]],MCompany[],3,FALSE)</f>
        <v>USD</v>
      </c>
      <c r="M107" s="15">
        <f>IF(TableTemp[[#This Row],[Currency]]="EUR",ROUND(VLOOKUP(MONTH(TableTemp[[#This Row],[Document Date]]),MExchange[],2,FALSE)*TableTemp[[#This Row],[Sales Local Currency]],2),ROUND(TableTemp[[#This Row],[Sales Local Currency]],2))</f>
        <v>2160</v>
      </c>
      <c r="N107" s="52">
        <f>IF(TableTemp[[#This Row],[Reject]]="",0,TableTemp[[#This Row],[Reject]]/SUMIF(TableTemp[Company],Map!$B$9,TableTemp[Quantity]))</f>
        <v>6.5359477124183002E-4</v>
      </c>
    </row>
    <row r="108" spans="1:14" x14ac:dyDescent="0.25">
      <c r="A108" s="7" t="s">
        <v>29</v>
      </c>
      <c r="B108">
        <v>68112</v>
      </c>
      <c r="C108" s="8">
        <v>43384</v>
      </c>
      <c r="D108">
        <v>8010</v>
      </c>
      <c r="E108">
        <v>105</v>
      </c>
      <c r="G108">
        <v>120</v>
      </c>
      <c r="H108">
        <v>1200</v>
      </c>
      <c r="I108" s="10" t="str">
        <f>VLOOKUP(A108,MCompany[],2,FALSE)</f>
        <v>Urban Right</v>
      </c>
      <c r="J108" s="10" t="str">
        <f>VLOOKUP(TableTemp[[#This Row],[Customer Code]],MCustomer[],2,FALSE)</f>
        <v>Dellicia</v>
      </c>
      <c r="K108" s="10" t="str">
        <f>VLOOKUP(TableTemp[[#This Row],[Article code]],MArticle[],2,FALSE)</f>
        <v>Women crop top black</v>
      </c>
      <c r="L108" s="10" t="str">
        <f>VLOOKUP(TableTemp[[#This Row],[Company]],MCompany[],3,FALSE)</f>
        <v>USD</v>
      </c>
      <c r="M108" s="15">
        <f>IF(TableTemp[[#This Row],[Currency]]="EUR",ROUND(VLOOKUP(MONTH(TableTemp[[#This Row],[Document Date]]),MExchange[],2,FALSE)*TableTemp[[#This Row],[Sales Local Currency]],2),ROUND(TableTemp[[#This Row],[Sales Local Currency]],2))</f>
        <v>1200</v>
      </c>
      <c r="N108" s="52">
        <f>IF(TableTemp[[#This Row],[Reject]]="",0,TableTemp[[#This Row],[Reject]]/SUMIF(TableTemp[Company],Map!$B$9,TableTemp[Quantity]))</f>
        <v>0</v>
      </c>
    </row>
    <row r="109" spans="1:14" x14ac:dyDescent="0.25">
      <c r="A109" s="7" t="s">
        <v>29</v>
      </c>
      <c r="B109">
        <v>68116</v>
      </c>
      <c r="C109" s="8">
        <v>43384</v>
      </c>
      <c r="D109">
        <v>8020</v>
      </c>
      <c r="E109">
        <v>104</v>
      </c>
      <c r="G109">
        <v>150</v>
      </c>
      <c r="H109">
        <v>1800</v>
      </c>
      <c r="I109" s="10" t="str">
        <f>VLOOKUP(A109,MCompany[],2,FALSE)</f>
        <v>Urban Right</v>
      </c>
      <c r="J109" s="10" t="str">
        <f>VLOOKUP(TableTemp[[#This Row],[Customer Code]],MCustomer[],2,FALSE)</f>
        <v>Erma</v>
      </c>
      <c r="K109" s="10" t="str">
        <f>VLOOKUP(TableTemp[[#This Row],[Article code]],MArticle[],2,FALSE)</f>
        <v>Women type T simple black</v>
      </c>
      <c r="L109" s="10" t="str">
        <f>VLOOKUP(TableTemp[[#This Row],[Company]],MCompany[],3,FALSE)</f>
        <v>USD</v>
      </c>
      <c r="M109" s="15">
        <f>IF(TableTemp[[#This Row],[Currency]]="EUR",ROUND(VLOOKUP(MONTH(TableTemp[[#This Row],[Document Date]]),MExchange[],2,FALSE)*TableTemp[[#This Row],[Sales Local Currency]],2),ROUND(TableTemp[[#This Row],[Sales Local Currency]],2))</f>
        <v>1800</v>
      </c>
      <c r="N109" s="52">
        <f>IF(TableTemp[[#This Row],[Reject]]="",0,TableTemp[[#This Row],[Reject]]/SUMIF(TableTemp[Company],Map!$B$9,TableTemp[Quantity]))</f>
        <v>0</v>
      </c>
    </row>
    <row r="110" spans="1:14" x14ac:dyDescent="0.25">
      <c r="A110" s="7" t="s">
        <v>29</v>
      </c>
      <c r="B110">
        <v>68116</v>
      </c>
      <c r="C110" s="8">
        <v>43384</v>
      </c>
      <c r="D110">
        <v>8020</v>
      </c>
      <c r="E110">
        <v>105</v>
      </c>
      <c r="G110">
        <v>190</v>
      </c>
      <c r="H110">
        <v>1900</v>
      </c>
      <c r="I110" s="10" t="str">
        <f>VLOOKUP(A110,MCompany[],2,FALSE)</f>
        <v>Urban Right</v>
      </c>
      <c r="J110" s="10" t="str">
        <f>VLOOKUP(TableTemp[[#This Row],[Customer Code]],MCustomer[],2,FALSE)</f>
        <v>Erma</v>
      </c>
      <c r="K110" s="10" t="str">
        <f>VLOOKUP(TableTemp[[#This Row],[Article code]],MArticle[],2,FALSE)</f>
        <v>Women crop top black</v>
      </c>
      <c r="L110" s="10" t="str">
        <f>VLOOKUP(TableTemp[[#This Row],[Company]],MCompany[],3,FALSE)</f>
        <v>USD</v>
      </c>
      <c r="M110" s="15">
        <f>IF(TableTemp[[#This Row],[Currency]]="EUR",ROUND(VLOOKUP(MONTH(TableTemp[[#This Row],[Document Date]]),MExchange[],2,FALSE)*TableTemp[[#This Row],[Sales Local Currency]],2),ROUND(TableTemp[[#This Row],[Sales Local Currency]],2))</f>
        <v>1900</v>
      </c>
      <c r="N110" s="52">
        <f>IF(TableTemp[[#This Row],[Reject]]="",0,TableTemp[[#This Row],[Reject]]/SUMIF(TableTemp[Company],Map!$B$9,TableTemp[Quantity]))</f>
        <v>0</v>
      </c>
    </row>
    <row r="111" spans="1:14" x14ac:dyDescent="0.25">
      <c r="A111" s="7" t="s">
        <v>29</v>
      </c>
      <c r="B111">
        <v>68116</v>
      </c>
      <c r="C111" s="8">
        <v>43384</v>
      </c>
      <c r="D111">
        <v>8020</v>
      </c>
      <c r="E111">
        <v>107</v>
      </c>
      <c r="F111">
        <v>2</v>
      </c>
      <c r="G111">
        <v>160</v>
      </c>
      <c r="H111">
        <v>800</v>
      </c>
      <c r="I111" s="10" t="str">
        <f>VLOOKUP(A111,MCompany[],2,FALSE)</f>
        <v>Urban Right</v>
      </c>
      <c r="J111" s="10" t="str">
        <f>VLOOKUP(TableTemp[[#This Row],[Customer Code]],MCustomer[],2,FALSE)</f>
        <v>Erma</v>
      </c>
      <c r="K111" s="10" t="str">
        <f>VLOOKUP(TableTemp[[#This Row],[Article code]],MArticle[],2,FALSE)</f>
        <v>Women basics</v>
      </c>
      <c r="L111" s="10" t="str">
        <f>VLOOKUP(TableTemp[[#This Row],[Company]],MCompany[],3,FALSE)</f>
        <v>USD</v>
      </c>
      <c r="M111" s="15">
        <f>IF(TableTemp[[#This Row],[Currency]]="EUR",ROUND(VLOOKUP(MONTH(TableTemp[[#This Row],[Document Date]]),MExchange[],2,FALSE)*TableTemp[[#This Row],[Sales Local Currency]],2),ROUND(TableTemp[[#This Row],[Sales Local Currency]],2))</f>
        <v>800</v>
      </c>
      <c r="N111" s="52">
        <f>IF(TableTemp[[#This Row],[Reject]]="",0,TableTemp[[#This Row],[Reject]]/SUMIF(TableTemp[Company],Map!$B$9,TableTemp[Quantity]))</f>
        <v>3.2679738562091501E-4</v>
      </c>
    </row>
    <row r="112" spans="1:14" x14ac:dyDescent="0.25">
      <c r="A112" s="7" t="s">
        <v>29</v>
      </c>
      <c r="B112">
        <v>68116</v>
      </c>
      <c r="C112" s="8">
        <v>43384</v>
      </c>
      <c r="D112">
        <v>8010</v>
      </c>
      <c r="E112">
        <v>104</v>
      </c>
      <c r="G112">
        <v>160</v>
      </c>
      <c r="H112">
        <v>1920</v>
      </c>
      <c r="I112" s="10" t="str">
        <f>VLOOKUP(A112,MCompany[],2,FALSE)</f>
        <v>Urban Right</v>
      </c>
      <c r="J112" s="10" t="str">
        <f>VLOOKUP(TableTemp[[#This Row],[Customer Code]],MCustomer[],2,FALSE)</f>
        <v>Dellicia</v>
      </c>
      <c r="K112" s="10" t="str">
        <f>VLOOKUP(TableTemp[[#This Row],[Article code]],MArticle[],2,FALSE)</f>
        <v>Women type T simple black</v>
      </c>
      <c r="L112" s="10" t="str">
        <f>VLOOKUP(TableTemp[[#This Row],[Company]],MCompany[],3,FALSE)</f>
        <v>USD</v>
      </c>
      <c r="M112" s="15">
        <f>IF(TableTemp[[#This Row],[Currency]]="EUR",ROUND(VLOOKUP(MONTH(TableTemp[[#This Row],[Document Date]]),MExchange[],2,FALSE)*TableTemp[[#This Row],[Sales Local Currency]],2),ROUND(TableTemp[[#This Row],[Sales Local Currency]],2))</f>
        <v>1920</v>
      </c>
      <c r="N112" s="52">
        <f>IF(TableTemp[[#This Row],[Reject]]="",0,TableTemp[[#This Row],[Reject]]/SUMIF(TableTemp[Company],Map!$B$9,TableTemp[Quantity]))</f>
        <v>0</v>
      </c>
    </row>
    <row r="113" spans="1:14" x14ac:dyDescent="0.25">
      <c r="A113" s="7" t="s">
        <v>29</v>
      </c>
      <c r="B113">
        <v>68116</v>
      </c>
      <c r="C113" s="8">
        <v>43384</v>
      </c>
      <c r="D113">
        <v>8010</v>
      </c>
      <c r="E113">
        <v>105</v>
      </c>
      <c r="G113">
        <v>190</v>
      </c>
      <c r="H113">
        <v>1900</v>
      </c>
      <c r="I113" s="10" t="str">
        <f>VLOOKUP(A113,MCompany[],2,FALSE)</f>
        <v>Urban Right</v>
      </c>
      <c r="J113" s="10" t="str">
        <f>VLOOKUP(TableTemp[[#This Row],[Customer Code]],MCustomer[],2,FALSE)</f>
        <v>Dellicia</v>
      </c>
      <c r="K113" s="10" t="str">
        <f>VLOOKUP(TableTemp[[#This Row],[Article code]],MArticle[],2,FALSE)</f>
        <v>Women crop top black</v>
      </c>
      <c r="L113" s="10" t="str">
        <f>VLOOKUP(TableTemp[[#This Row],[Company]],MCompany[],3,FALSE)</f>
        <v>USD</v>
      </c>
      <c r="M113" s="15">
        <f>IF(TableTemp[[#This Row],[Currency]]="EUR",ROUND(VLOOKUP(MONTH(TableTemp[[#This Row],[Document Date]]),MExchange[],2,FALSE)*TableTemp[[#This Row],[Sales Local Currency]],2),ROUND(TableTemp[[#This Row],[Sales Local Currency]],2))</f>
        <v>1900</v>
      </c>
      <c r="N113" s="52">
        <f>IF(TableTemp[[#This Row],[Reject]]="",0,TableTemp[[#This Row],[Reject]]/SUMIF(TableTemp[Company],Map!$B$9,TableTemp[Quantity]))</f>
        <v>0</v>
      </c>
    </row>
    <row r="114" spans="1:14" x14ac:dyDescent="0.25">
      <c r="A114" s="7" t="s">
        <v>29</v>
      </c>
      <c r="B114">
        <v>65662</v>
      </c>
      <c r="C114" s="8">
        <v>43388</v>
      </c>
      <c r="D114">
        <v>8020</v>
      </c>
      <c r="E114">
        <v>103</v>
      </c>
      <c r="G114">
        <v>120</v>
      </c>
      <c r="H114">
        <v>1440</v>
      </c>
      <c r="I114" s="10" t="str">
        <f>VLOOKUP(A114,MCompany[],2,FALSE)</f>
        <v>Urban Right</v>
      </c>
      <c r="J114" s="10" t="str">
        <f>VLOOKUP(TableTemp[[#This Row],[Customer Code]],MCustomer[],2,FALSE)</f>
        <v>Erma</v>
      </c>
      <c r="K114" s="10" t="str">
        <f>VLOOKUP(TableTemp[[#This Row],[Article code]],MArticle[],2,FALSE)</f>
        <v>Women type T simple white</v>
      </c>
      <c r="L114" s="10" t="str">
        <f>VLOOKUP(TableTemp[[#This Row],[Company]],MCompany[],3,FALSE)</f>
        <v>USD</v>
      </c>
      <c r="M114" s="15">
        <f>IF(TableTemp[[#This Row],[Currency]]="EUR",ROUND(VLOOKUP(MONTH(TableTemp[[#This Row],[Document Date]]),MExchange[],2,FALSE)*TableTemp[[#This Row],[Sales Local Currency]],2),ROUND(TableTemp[[#This Row],[Sales Local Currency]],2))</f>
        <v>1440</v>
      </c>
      <c r="N114" s="52">
        <f>IF(TableTemp[[#This Row],[Reject]]="",0,TableTemp[[#This Row],[Reject]]/SUMIF(TableTemp[Company],Map!$B$9,TableTemp[Quantity]))</f>
        <v>0</v>
      </c>
    </row>
    <row r="115" spans="1:14" x14ac:dyDescent="0.25">
      <c r="A115" s="7" t="s">
        <v>29</v>
      </c>
      <c r="B115">
        <v>65662</v>
      </c>
      <c r="C115" s="8">
        <v>43388</v>
      </c>
      <c r="D115">
        <v>8020</v>
      </c>
      <c r="E115">
        <v>104</v>
      </c>
      <c r="G115">
        <v>110</v>
      </c>
      <c r="H115">
        <v>1320</v>
      </c>
      <c r="I115" s="10" t="str">
        <f>VLOOKUP(A115,MCompany[],2,FALSE)</f>
        <v>Urban Right</v>
      </c>
      <c r="J115" s="10" t="str">
        <f>VLOOKUP(TableTemp[[#This Row],[Customer Code]],MCustomer[],2,FALSE)</f>
        <v>Erma</v>
      </c>
      <c r="K115" s="10" t="str">
        <f>VLOOKUP(TableTemp[[#This Row],[Article code]],MArticle[],2,FALSE)</f>
        <v>Women type T simple black</v>
      </c>
      <c r="L115" s="10" t="str">
        <f>VLOOKUP(TableTemp[[#This Row],[Company]],MCompany[],3,FALSE)</f>
        <v>USD</v>
      </c>
      <c r="M115" s="15">
        <f>IF(TableTemp[[#This Row],[Currency]]="EUR",ROUND(VLOOKUP(MONTH(TableTemp[[#This Row],[Document Date]]),MExchange[],2,FALSE)*TableTemp[[#This Row],[Sales Local Currency]],2),ROUND(TableTemp[[#This Row],[Sales Local Currency]],2))</f>
        <v>1320</v>
      </c>
      <c r="N115" s="52">
        <f>IF(TableTemp[[#This Row],[Reject]]="",0,TableTemp[[#This Row],[Reject]]/SUMIF(TableTemp[Company],Map!$B$9,TableTemp[Quantity]))</f>
        <v>0</v>
      </c>
    </row>
    <row r="116" spans="1:14" x14ac:dyDescent="0.25">
      <c r="A116" s="7" t="s">
        <v>29</v>
      </c>
      <c r="B116">
        <v>65666</v>
      </c>
      <c r="C116" s="8">
        <v>43388</v>
      </c>
      <c r="D116">
        <v>8010</v>
      </c>
      <c r="E116">
        <v>103</v>
      </c>
      <c r="G116">
        <v>120</v>
      </c>
      <c r="H116">
        <v>1440</v>
      </c>
      <c r="I116" s="10" t="str">
        <f>VLOOKUP(A116,MCompany[],2,FALSE)</f>
        <v>Urban Right</v>
      </c>
      <c r="J116" s="10" t="str">
        <f>VLOOKUP(TableTemp[[#This Row],[Customer Code]],MCustomer[],2,FALSE)</f>
        <v>Dellicia</v>
      </c>
      <c r="K116" s="10" t="str">
        <f>VLOOKUP(TableTemp[[#This Row],[Article code]],MArticle[],2,FALSE)</f>
        <v>Women type T simple white</v>
      </c>
      <c r="L116" s="10" t="str">
        <f>VLOOKUP(TableTemp[[#This Row],[Company]],MCompany[],3,FALSE)</f>
        <v>USD</v>
      </c>
      <c r="M116" s="15">
        <f>IF(TableTemp[[#This Row],[Currency]]="EUR",ROUND(VLOOKUP(MONTH(TableTemp[[#This Row],[Document Date]]),MExchange[],2,FALSE)*TableTemp[[#This Row],[Sales Local Currency]],2),ROUND(TableTemp[[#This Row],[Sales Local Currency]],2))</f>
        <v>1440</v>
      </c>
      <c r="N116" s="52">
        <f>IF(TableTemp[[#This Row],[Reject]]="",0,TableTemp[[#This Row],[Reject]]/SUMIF(TableTemp[Company],Map!$B$9,TableTemp[Quantity]))</f>
        <v>0</v>
      </c>
    </row>
    <row r="117" spans="1:14" x14ac:dyDescent="0.25">
      <c r="A117" s="7" t="s">
        <v>29</v>
      </c>
      <c r="B117">
        <v>65666</v>
      </c>
      <c r="C117" s="8">
        <v>43388</v>
      </c>
      <c r="D117">
        <v>8010</v>
      </c>
      <c r="E117">
        <v>104</v>
      </c>
      <c r="G117">
        <v>140</v>
      </c>
      <c r="H117">
        <v>1680</v>
      </c>
      <c r="I117" s="10" t="str">
        <f>VLOOKUP(A117,MCompany[],2,FALSE)</f>
        <v>Urban Right</v>
      </c>
      <c r="J117" s="10" t="str">
        <f>VLOOKUP(TableTemp[[#This Row],[Customer Code]],MCustomer[],2,FALSE)</f>
        <v>Dellicia</v>
      </c>
      <c r="K117" s="10" t="str">
        <f>VLOOKUP(TableTemp[[#This Row],[Article code]],MArticle[],2,FALSE)</f>
        <v>Women type T simple black</v>
      </c>
      <c r="L117" s="10" t="str">
        <f>VLOOKUP(TableTemp[[#This Row],[Company]],MCompany[],3,FALSE)</f>
        <v>USD</v>
      </c>
      <c r="M117" s="15">
        <f>IF(TableTemp[[#This Row],[Currency]]="EUR",ROUND(VLOOKUP(MONTH(TableTemp[[#This Row],[Document Date]]),MExchange[],2,FALSE)*TableTemp[[#This Row],[Sales Local Currency]],2),ROUND(TableTemp[[#This Row],[Sales Local Currency]],2))</f>
        <v>1680</v>
      </c>
      <c r="N117" s="52">
        <f>IF(TableTemp[[#This Row],[Reject]]="",0,TableTemp[[#This Row],[Reject]]/SUMIF(TableTemp[Company],Map!$B$9,TableTemp[Quantity]))</f>
        <v>0</v>
      </c>
    </row>
    <row r="118" spans="1:14" x14ac:dyDescent="0.25">
      <c r="A118" s="7" t="s">
        <v>29</v>
      </c>
      <c r="B118">
        <v>65666</v>
      </c>
      <c r="C118" s="8">
        <v>43388</v>
      </c>
      <c r="D118">
        <v>8010</v>
      </c>
      <c r="E118">
        <v>105</v>
      </c>
      <c r="G118">
        <v>160</v>
      </c>
      <c r="H118">
        <v>1600</v>
      </c>
      <c r="I118" s="10" t="str">
        <f>VLOOKUP(A118,MCompany[],2,FALSE)</f>
        <v>Urban Right</v>
      </c>
      <c r="J118" s="10" t="str">
        <f>VLOOKUP(TableTemp[[#This Row],[Customer Code]],MCustomer[],2,FALSE)</f>
        <v>Dellicia</v>
      </c>
      <c r="K118" s="10" t="str">
        <f>VLOOKUP(TableTemp[[#This Row],[Article code]],MArticle[],2,FALSE)</f>
        <v>Women crop top black</v>
      </c>
      <c r="L118" s="10" t="str">
        <f>VLOOKUP(TableTemp[[#This Row],[Company]],MCompany[],3,FALSE)</f>
        <v>USD</v>
      </c>
      <c r="M118" s="15">
        <f>IF(TableTemp[[#This Row],[Currency]]="EUR",ROUND(VLOOKUP(MONTH(TableTemp[[#This Row],[Document Date]]),MExchange[],2,FALSE)*TableTemp[[#This Row],[Sales Local Currency]],2),ROUND(TableTemp[[#This Row],[Sales Local Currency]],2))</f>
        <v>1600</v>
      </c>
      <c r="N118" s="52">
        <f>IF(TableTemp[[#This Row],[Reject]]="",0,TableTemp[[#This Row],[Reject]]/SUMIF(TableTemp[Company],Map!$B$9,TableTemp[Quantity]))</f>
        <v>0</v>
      </c>
    </row>
    <row r="119" spans="1:14" x14ac:dyDescent="0.25">
      <c r="A119" s="7" t="s">
        <v>29</v>
      </c>
      <c r="B119">
        <v>65666</v>
      </c>
      <c r="C119" s="8">
        <v>43388</v>
      </c>
      <c r="D119">
        <v>8020</v>
      </c>
      <c r="E119">
        <v>107</v>
      </c>
      <c r="G119">
        <v>120</v>
      </c>
      <c r="H119">
        <v>600</v>
      </c>
      <c r="I119" s="10" t="str">
        <f>VLOOKUP(A119,MCompany[],2,FALSE)</f>
        <v>Urban Right</v>
      </c>
      <c r="J119" s="10" t="str">
        <f>VLOOKUP(TableTemp[[#This Row],[Customer Code]],MCustomer[],2,FALSE)</f>
        <v>Erma</v>
      </c>
      <c r="K119" s="10" t="str">
        <f>VLOOKUP(TableTemp[[#This Row],[Article code]],MArticle[],2,FALSE)</f>
        <v>Women basics</v>
      </c>
      <c r="L119" s="10" t="str">
        <f>VLOOKUP(TableTemp[[#This Row],[Company]],MCompany[],3,FALSE)</f>
        <v>USD</v>
      </c>
      <c r="M119" s="15">
        <f>IF(TableTemp[[#This Row],[Currency]]="EUR",ROUND(VLOOKUP(MONTH(TableTemp[[#This Row],[Document Date]]),MExchange[],2,FALSE)*TableTemp[[#This Row],[Sales Local Currency]],2),ROUND(TableTemp[[#This Row],[Sales Local Currency]],2))</f>
        <v>600</v>
      </c>
      <c r="N119" s="52">
        <f>IF(TableTemp[[#This Row],[Reject]]="",0,TableTemp[[#This Row],[Reject]]/SUMIF(TableTemp[Company],Map!$B$9,TableTemp[Quantity]))</f>
        <v>0</v>
      </c>
    </row>
    <row r="120" spans="1:14" x14ac:dyDescent="0.25">
      <c r="A120" s="7" t="s">
        <v>29</v>
      </c>
      <c r="B120">
        <v>65666</v>
      </c>
      <c r="C120" s="8">
        <v>43388</v>
      </c>
      <c r="D120">
        <v>8020</v>
      </c>
      <c r="E120">
        <v>103</v>
      </c>
      <c r="G120">
        <v>200</v>
      </c>
      <c r="H120">
        <v>2400</v>
      </c>
      <c r="I120" s="10" t="str">
        <f>VLOOKUP(A120,MCompany[],2,FALSE)</f>
        <v>Urban Right</v>
      </c>
      <c r="J120" s="10" t="str">
        <f>VLOOKUP(TableTemp[[#This Row],[Customer Code]],MCustomer[],2,FALSE)</f>
        <v>Erma</v>
      </c>
      <c r="K120" s="10" t="str">
        <f>VLOOKUP(TableTemp[[#This Row],[Article code]],MArticle[],2,FALSE)</f>
        <v>Women type T simple white</v>
      </c>
      <c r="L120" s="10" t="str">
        <f>VLOOKUP(TableTemp[[#This Row],[Company]],MCompany[],3,FALSE)</f>
        <v>USD</v>
      </c>
      <c r="M120" s="15">
        <f>IF(TableTemp[[#This Row],[Currency]]="EUR",ROUND(VLOOKUP(MONTH(TableTemp[[#This Row],[Document Date]]),MExchange[],2,FALSE)*TableTemp[[#This Row],[Sales Local Currency]],2),ROUND(TableTemp[[#This Row],[Sales Local Currency]],2))</f>
        <v>2400</v>
      </c>
      <c r="N120" s="52">
        <f>IF(TableTemp[[#This Row],[Reject]]="",0,TableTemp[[#This Row],[Reject]]/SUMIF(TableTemp[Company],Map!$B$9,TableTemp[Quantity]))</f>
        <v>0</v>
      </c>
    </row>
    <row r="121" spans="1:14" x14ac:dyDescent="0.25">
      <c r="A121" s="7" t="s">
        <v>29</v>
      </c>
      <c r="B121">
        <v>66015</v>
      </c>
      <c r="C121" s="8">
        <v>43383</v>
      </c>
      <c r="D121">
        <v>8010</v>
      </c>
      <c r="E121">
        <v>103</v>
      </c>
      <c r="G121">
        <v>140</v>
      </c>
      <c r="H121">
        <v>1680</v>
      </c>
      <c r="I121" s="10" t="str">
        <f>VLOOKUP(A121,MCompany[],2,FALSE)</f>
        <v>Urban Right</v>
      </c>
      <c r="J121" s="10" t="str">
        <f>VLOOKUP(TableTemp[[#This Row],[Customer Code]],MCustomer[],2,FALSE)</f>
        <v>Dellicia</v>
      </c>
      <c r="K121" s="10" t="str">
        <f>VLOOKUP(TableTemp[[#This Row],[Article code]],MArticle[],2,FALSE)</f>
        <v>Women type T simple white</v>
      </c>
      <c r="L121" s="10" t="str">
        <f>VLOOKUP(TableTemp[[#This Row],[Company]],MCompany[],3,FALSE)</f>
        <v>USD</v>
      </c>
      <c r="M121" s="15">
        <f>IF(TableTemp[[#This Row],[Currency]]="EUR",ROUND(VLOOKUP(MONTH(TableTemp[[#This Row],[Document Date]]),MExchange[],2,FALSE)*TableTemp[[#This Row],[Sales Local Currency]],2),ROUND(TableTemp[[#This Row],[Sales Local Currency]],2))</f>
        <v>1680</v>
      </c>
      <c r="N121" s="52">
        <f>IF(TableTemp[[#This Row],[Reject]]="",0,TableTemp[[#This Row],[Reject]]/SUMIF(TableTemp[Company],Map!$B$9,TableTemp[Quantity]))</f>
        <v>0</v>
      </c>
    </row>
    <row r="122" spans="1:14" x14ac:dyDescent="0.25">
      <c r="A122" s="7" t="s">
        <v>29</v>
      </c>
      <c r="B122">
        <v>66015</v>
      </c>
      <c r="C122" s="8">
        <v>43383</v>
      </c>
      <c r="D122">
        <v>8010</v>
      </c>
      <c r="E122">
        <v>104</v>
      </c>
      <c r="G122">
        <v>140</v>
      </c>
      <c r="H122">
        <v>1680</v>
      </c>
      <c r="I122" s="10" t="str">
        <f>VLOOKUP(A122,MCompany[],2,FALSE)</f>
        <v>Urban Right</v>
      </c>
      <c r="J122" s="10" t="str">
        <f>VLOOKUP(TableTemp[[#This Row],[Customer Code]],MCustomer[],2,FALSE)</f>
        <v>Dellicia</v>
      </c>
      <c r="K122" s="10" t="str">
        <f>VLOOKUP(TableTemp[[#This Row],[Article code]],MArticle[],2,FALSE)</f>
        <v>Women type T simple black</v>
      </c>
      <c r="L122" s="10" t="str">
        <f>VLOOKUP(TableTemp[[#This Row],[Company]],MCompany[],3,FALSE)</f>
        <v>USD</v>
      </c>
      <c r="M122" s="15">
        <f>IF(TableTemp[[#This Row],[Currency]]="EUR",ROUND(VLOOKUP(MONTH(TableTemp[[#This Row],[Document Date]]),MExchange[],2,FALSE)*TableTemp[[#This Row],[Sales Local Currency]],2),ROUND(TableTemp[[#This Row],[Sales Local Currency]],2))</f>
        <v>1680</v>
      </c>
      <c r="N122" s="52">
        <f>IF(TableTemp[[#This Row],[Reject]]="",0,TableTemp[[#This Row],[Reject]]/SUMIF(TableTemp[Company],Map!$B$9,TableTemp[Quantity]))</f>
        <v>0</v>
      </c>
    </row>
    <row r="123" spans="1:14" x14ac:dyDescent="0.25">
      <c r="A123" s="7" t="s">
        <v>29</v>
      </c>
      <c r="B123">
        <v>66017</v>
      </c>
      <c r="C123" s="8">
        <v>43386</v>
      </c>
      <c r="D123">
        <v>8010</v>
      </c>
      <c r="E123">
        <v>103</v>
      </c>
      <c r="G123">
        <v>140</v>
      </c>
      <c r="H123">
        <v>1680</v>
      </c>
      <c r="I123" s="10" t="str">
        <f>VLOOKUP(A123,MCompany[],2,FALSE)</f>
        <v>Urban Right</v>
      </c>
      <c r="J123" s="10" t="str">
        <f>VLOOKUP(TableTemp[[#This Row],[Customer Code]],MCustomer[],2,FALSE)</f>
        <v>Dellicia</v>
      </c>
      <c r="K123" s="10" t="str">
        <f>VLOOKUP(TableTemp[[#This Row],[Article code]],MArticle[],2,FALSE)</f>
        <v>Women type T simple white</v>
      </c>
      <c r="L123" s="10" t="str">
        <f>VLOOKUP(TableTemp[[#This Row],[Company]],MCompany[],3,FALSE)</f>
        <v>USD</v>
      </c>
      <c r="M123" s="15">
        <f>IF(TableTemp[[#This Row],[Currency]]="EUR",ROUND(VLOOKUP(MONTH(TableTemp[[#This Row],[Document Date]]),MExchange[],2,FALSE)*TableTemp[[#This Row],[Sales Local Currency]],2),ROUND(TableTemp[[#This Row],[Sales Local Currency]],2))</f>
        <v>1680</v>
      </c>
      <c r="N123" s="52">
        <f>IF(TableTemp[[#This Row],[Reject]]="",0,TableTemp[[#This Row],[Reject]]/SUMIF(TableTemp[Company],Map!$B$9,TableTemp[Quantity]))</f>
        <v>0</v>
      </c>
    </row>
    <row r="124" spans="1:14" x14ac:dyDescent="0.25">
      <c r="A124" s="7" t="s">
        <v>29</v>
      </c>
      <c r="B124">
        <v>66017</v>
      </c>
      <c r="C124" s="8">
        <v>43386</v>
      </c>
      <c r="D124">
        <v>8010</v>
      </c>
      <c r="E124">
        <v>104</v>
      </c>
      <c r="G124">
        <v>140</v>
      </c>
      <c r="H124">
        <v>1680</v>
      </c>
      <c r="I124" s="10" t="str">
        <f>VLOOKUP(A124,MCompany[],2,FALSE)</f>
        <v>Urban Right</v>
      </c>
      <c r="J124" s="10" t="str">
        <f>VLOOKUP(TableTemp[[#This Row],[Customer Code]],MCustomer[],2,FALSE)</f>
        <v>Dellicia</v>
      </c>
      <c r="K124" s="10" t="str">
        <f>VLOOKUP(TableTemp[[#This Row],[Article code]],MArticle[],2,FALSE)</f>
        <v>Women type T simple black</v>
      </c>
      <c r="L124" s="10" t="str">
        <f>VLOOKUP(TableTemp[[#This Row],[Company]],MCompany[],3,FALSE)</f>
        <v>USD</v>
      </c>
      <c r="M124" s="15">
        <f>IF(TableTemp[[#This Row],[Currency]]="EUR",ROUND(VLOOKUP(MONTH(TableTemp[[#This Row],[Document Date]]),MExchange[],2,FALSE)*TableTemp[[#This Row],[Sales Local Currency]],2),ROUND(TableTemp[[#This Row],[Sales Local Currency]],2))</f>
        <v>1680</v>
      </c>
      <c r="N124" s="52">
        <f>IF(TableTemp[[#This Row],[Reject]]="",0,TableTemp[[#This Row],[Reject]]/SUMIF(TableTemp[Company],Map!$B$9,TableTemp[Quantity]))</f>
        <v>0</v>
      </c>
    </row>
    <row r="125" spans="1:14" x14ac:dyDescent="0.25">
      <c r="A125" s="7" t="s">
        <v>29</v>
      </c>
      <c r="B125">
        <v>66016</v>
      </c>
      <c r="C125" s="8">
        <v>43387</v>
      </c>
      <c r="D125">
        <v>8020</v>
      </c>
      <c r="E125">
        <v>103</v>
      </c>
      <c r="G125">
        <v>120</v>
      </c>
      <c r="H125">
        <v>1440</v>
      </c>
      <c r="I125" s="10" t="str">
        <f>VLOOKUP(A125,MCompany[],2,FALSE)</f>
        <v>Urban Right</v>
      </c>
      <c r="J125" s="10" t="str">
        <f>VLOOKUP(TableTemp[[#This Row],[Customer Code]],MCustomer[],2,FALSE)</f>
        <v>Erma</v>
      </c>
      <c r="K125" s="10" t="str">
        <f>VLOOKUP(TableTemp[[#This Row],[Article code]],MArticle[],2,FALSE)</f>
        <v>Women type T simple white</v>
      </c>
      <c r="L125" s="10" t="str">
        <f>VLOOKUP(TableTemp[[#This Row],[Company]],MCompany[],3,FALSE)</f>
        <v>USD</v>
      </c>
      <c r="M125" s="15">
        <f>IF(TableTemp[[#This Row],[Currency]]="EUR",ROUND(VLOOKUP(MONTH(TableTemp[[#This Row],[Document Date]]),MExchange[],2,FALSE)*TableTemp[[#This Row],[Sales Local Currency]],2),ROUND(TableTemp[[#This Row],[Sales Local Currency]],2))</f>
        <v>1440</v>
      </c>
      <c r="N125" s="52">
        <f>IF(TableTemp[[#This Row],[Reject]]="",0,TableTemp[[#This Row],[Reject]]/SUMIF(TableTemp[Company],Map!$B$9,TableTemp[Quantity]))</f>
        <v>0</v>
      </c>
    </row>
    <row r="126" spans="1:14" x14ac:dyDescent="0.25">
      <c r="A126" s="7" t="s">
        <v>29</v>
      </c>
      <c r="B126">
        <v>66016</v>
      </c>
      <c r="C126" s="8">
        <v>43387</v>
      </c>
      <c r="D126">
        <v>8020</v>
      </c>
      <c r="E126">
        <v>104</v>
      </c>
      <c r="G126">
        <v>130</v>
      </c>
      <c r="H126">
        <v>1560</v>
      </c>
      <c r="I126" s="10" t="str">
        <f>VLOOKUP(A126,MCompany[],2,FALSE)</f>
        <v>Urban Right</v>
      </c>
      <c r="J126" s="10" t="str">
        <f>VLOOKUP(TableTemp[[#This Row],[Customer Code]],MCustomer[],2,FALSE)</f>
        <v>Erma</v>
      </c>
      <c r="K126" s="10" t="str">
        <f>VLOOKUP(TableTemp[[#This Row],[Article code]],MArticle[],2,FALSE)</f>
        <v>Women type T simple black</v>
      </c>
      <c r="L126" s="10" t="str">
        <f>VLOOKUP(TableTemp[[#This Row],[Company]],MCompany[],3,FALSE)</f>
        <v>USD</v>
      </c>
      <c r="M126" s="15">
        <f>IF(TableTemp[[#This Row],[Currency]]="EUR",ROUND(VLOOKUP(MONTH(TableTemp[[#This Row],[Document Date]]),MExchange[],2,FALSE)*TableTemp[[#This Row],[Sales Local Currency]],2),ROUND(TableTemp[[#This Row],[Sales Local Currency]],2))</f>
        <v>1560</v>
      </c>
      <c r="N126" s="52">
        <f>IF(TableTemp[[#This Row],[Reject]]="",0,TableTemp[[#This Row],[Reject]]/SUMIF(TableTemp[Company],Map!$B$9,TableTemp[Quantity]))</f>
        <v>0</v>
      </c>
    </row>
    <row r="127" spans="1:14" x14ac:dyDescent="0.25">
      <c r="A127" s="7" t="s">
        <v>29</v>
      </c>
      <c r="B127">
        <v>66016</v>
      </c>
      <c r="C127" s="8">
        <v>43387</v>
      </c>
      <c r="D127">
        <v>8020</v>
      </c>
      <c r="E127">
        <v>105</v>
      </c>
      <c r="G127">
        <v>120</v>
      </c>
      <c r="H127">
        <v>1200</v>
      </c>
      <c r="I127" s="10" t="str">
        <f>VLOOKUP(A127,MCompany[],2,FALSE)</f>
        <v>Urban Right</v>
      </c>
      <c r="J127" s="10" t="str">
        <f>VLOOKUP(TableTemp[[#This Row],[Customer Code]],MCustomer[],2,FALSE)</f>
        <v>Erma</v>
      </c>
      <c r="K127" s="10" t="str">
        <f>VLOOKUP(TableTemp[[#This Row],[Article code]],MArticle[],2,FALSE)</f>
        <v>Women crop top black</v>
      </c>
      <c r="L127" s="10" t="str">
        <f>VLOOKUP(TableTemp[[#This Row],[Company]],MCompany[],3,FALSE)</f>
        <v>USD</v>
      </c>
      <c r="M127" s="15">
        <f>IF(TableTemp[[#This Row],[Currency]]="EUR",ROUND(VLOOKUP(MONTH(TableTemp[[#This Row],[Document Date]]),MExchange[],2,FALSE)*TableTemp[[#This Row],[Sales Local Currency]],2),ROUND(TableTemp[[#This Row],[Sales Local Currency]],2))</f>
        <v>1200</v>
      </c>
      <c r="N127" s="52">
        <f>IF(TableTemp[[#This Row],[Reject]]="",0,TableTemp[[#This Row],[Reject]]/SUMIF(TableTemp[Company],Map!$B$9,TableTemp[Quantity]))</f>
        <v>0</v>
      </c>
    </row>
    <row r="128" spans="1:14" x14ac:dyDescent="0.25">
      <c r="A128" s="7" t="s">
        <v>29</v>
      </c>
      <c r="B128">
        <v>68097</v>
      </c>
      <c r="C128" s="8">
        <v>43390</v>
      </c>
      <c r="D128">
        <v>8010</v>
      </c>
      <c r="E128">
        <v>104</v>
      </c>
      <c r="G128">
        <v>140</v>
      </c>
      <c r="H128">
        <v>1680</v>
      </c>
      <c r="I128" s="10" t="str">
        <f>VLOOKUP(A128,MCompany[],2,FALSE)</f>
        <v>Urban Right</v>
      </c>
      <c r="J128" s="10" t="str">
        <f>VLOOKUP(TableTemp[[#This Row],[Customer Code]],MCustomer[],2,FALSE)</f>
        <v>Dellicia</v>
      </c>
      <c r="K128" s="10" t="str">
        <f>VLOOKUP(TableTemp[[#This Row],[Article code]],MArticle[],2,FALSE)</f>
        <v>Women type T simple black</v>
      </c>
      <c r="L128" s="10" t="str">
        <f>VLOOKUP(TableTemp[[#This Row],[Company]],MCompany[],3,FALSE)</f>
        <v>USD</v>
      </c>
      <c r="M128" s="15">
        <f>IF(TableTemp[[#This Row],[Currency]]="EUR",ROUND(VLOOKUP(MONTH(TableTemp[[#This Row],[Document Date]]),MExchange[],2,FALSE)*TableTemp[[#This Row],[Sales Local Currency]],2),ROUND(TableTemp[[#This Row],[Sales Local Currency]],2))</f>
        <v>1680</v>
      </c>
      <c r="N128" s="52">
        <f>IF(TableTemp[[#This Row],[Reject]]="",0,TableTemp[[#This Row],[Reject]]/SUMIF(TableTemp[Company],Map!$B$9,TableTemp[Quantity]))</f>
        <v>0</v>
      </c>
    </row>
    <row r="129" spans="1:14" x14ac:dyDescent="0.25">
      <c r="A129" s="7" t="s">
        <v>29</v>
      </c>
      <c r="B129">
        <v>68097</v>
      </c>
      <c r="C129" s="8">
        <v>43390</v>
      </c>
      <c r="D129">
        <v>8010</v>
      </c>
      <c r="E129">
        <v>105</v>
      </c>
      <c r="G129">
        <v>130</v>
      </c>
      <c r="H129">
        <v>1300</v>
      </c>
      <c r="I129" s="10" t="str">
        <f>VLOOKUP(A129,MCompany[],2,FALSE)</f>
        <v>Urban Right</v>
      </c>
      <c r="J129" s="10" t="str">
        <f>VLOOKUP(TableTemp[[#This Row],[Customer Code]],MCustomer[],2,FALSE)</f>
        <v>Dellicia</v>
      </c>
      <c r="K129" s="10" t="str">
        <f>VLOOKUP(TableTemp[[#This Row],[Article code]],MArticle[],2,FALSE)</f>
        <v>Women crop top black</v>
      </c>
      <c r="L129" s="10" t="str">
        <f>VLOOKUP(TableTemp[[#This Row],[Company]],MCompany[],3,FALSE)</f>
        <v>USD</v>
      </c>
      <c r="M129" s="15">
        <f>IF(TableTemp[[#This Row],[Currency]]="EUR",ROUND(VLOOKUP(MONTH(TableTemp[[#This Row],[Document Date]]),MExchange[],2,FALSE)*TableTemp[[#This Row],[Sales Local Currency]],2),ROUND(TableTemp[[#This Row],[Sales Local Currency]],2))</f>
        <v>1300</v>
      </c>
      <c r="N129" s="52">
        <f>IF(TableTemp[[#This Row],[Reject]]="",0,TableTemp[[#This Row],[Reject]]/SUMIF(TableTemp[Company],Map!$B$9,TableTemp[Quantity]))</f>
        <v>0</v>
      </c>
    </row>
    <row r="130" spans="1:14" x14ac:dyDescent="0.25">
      <c r="A130" s="7" t="s">
        <v>29</v>
      </c>
      <c r="B130">
        <v>68099</v>
      </c>
      <c r="C130" s="8">
        <v>43390</v>
      </c>
      <c r="D130">
        <v>8020</v>
      </c>
      <c r="E130">
        <v>104</v>
      </c>
      <c r="G130">
        <v>120</v>
      </c>
      <c r="H130">
        <v>1440</v>
      </c>
      <c r="I130" s="10" t="str">
        <f>VLOOKUP(A130,MCompany[],2,FALSE)</f>
        <v>Urban Right</v>
      </c>
      <c r="J130" s="10" t="str">
        <f>VLOOKUP(TableTemp[[#This Row],[Customer Code]],MCustomer[],2,FALSE)</f>
        <v>Erma</v>
      </c>
      <c r="K130" s="10" t="str">
        <f>VLOOKUP(TableTemp[[#This Row],[Article code]],MArticle[],2,FALSE)</f>
        <v>Women type T simple black</v>
      </c>
      <c r="L130" s="10" t="str">
        <f>VLOOKUP(TableTemp[[#This Row],[Company]],MCompany[],3,FALSE)</f>
        <v>USD</v>
      </c>
      <c r="M130" s="15">
        <f>IF(TableTemp[[#This Row],[Currency]]="EUR",ROUND(VLOOKUP(MONTH(TableTemp[[#This Row],[Document Date]]),MExchange[],2,FALSE)*TableTemp[[#This Row],[Sales Local Currency]],2),ROUND(TableTemp[[#This Row],[Sales Local Currency]],2))</f>
        <v>1440</v>
      </c>
      <c r="N130" s="52">
        <f>IF(TableTemp[[#This Row],[Reject]]="",0,TableTemp[[#This Row],[Reject]]/SUMIF(TableTemp[Company],Map!$B$9,TableTemp[Quantity]))</f>
        <v>0</v>
      </c>
    </row>
    <row r="131" spans="1:14" x14ac:dyDescent="0.25">
      <c r="A131" s="7" t="s">
        <v>29</v>
      </c>
      <c r="B131">
        <v>68099</v>
      </c>
      <c r="C131" s="8">
        <v>43390</v>
      </c>
      <c r="D131">
        <v>8020</v>
      </c>
      <c r="E131">
        <v>105</v>
      </c>
      <c r="F131">
        <v>2</v>
      </c>
      <c r="G131">
        <v>140</v>
      </c>
      <c r="H131">
        <v>1400</v>
      </c>
      <c r="I131" s="10" t="str">
        <f>VLOOKUP(A131,MCompany[],2,FALSE)</f>
        <v>Urban Right</v>
      </c>
      <c r="J131" s="10" t="str">
        <f>VLOOKUP(TableTemp[[#This Row],[Customer Code]],MCustomer[],2,FALSE)</f>
        <v>Erma</v>
      </c>
      <c r="K131" s="10" t="str">
        <f>VLOOKUP(TableTemp[[#This Row],[Article code]],MArticle[],2,FALSE)</f>
        <v>Women crop top black</v>
      </c>
      <c r="L131" s="10" t="str">
        <f>VLOOKUP(TableTemp[[#This Row],[Company]],MCompany[],3,FALSE)</f>
        <v>USD</v>
      </c>
      <c r="M131" s="15">
        <f>IF(TableTemp[[#This Row],[Currency]]="EUR",ROUND(VLOOKUP(MONTH(TableTemp[[#This Row],[Document Date]]),MExchange[],2,FALSE)*TableTemp[[#This Row],[Sales Local Currency]],2),ROUND(TableTemp[[#This Row],[Sales Local Currency]],2))</f>
        <v>1400</v>
      </c>
      <c r="N131" s="52">
        <f>IF(TableTemp[[#This Row],[Reject]]="",0,TableTemp[[#This Row],[Reject]]/SUMIF(TableTemp[Company],Map!$B$9,TableTemp[Quantity]))</f>
        <v>3.2679738562091501E-4</v>
      </c>
    </row>
    <row r="132" spans="1:14" x14ac:dyDescent="0.25">
      <c r="A132" s="7" t="s">
        <v>29</v>
      </c>
      <c r="B132">
        <v>68099</v>
      </c>
      <c r="C132" s="8">
        <v>43390</v>
      </c>
      <c r="D132">
        <v>8020</v>
      </c>
      <c r="E132">
        <v>107</v>
      </c>
      <c r="G132">
        <v>170</v>
      </c>
      <c r="H132">
        <v>850</v>
      </c>
      <c r="I132" s="10" t="str">
        <f>VLOOKUP(A132,MCompany[],2,FALSE)</f>
        <v>Urban Right</v>
      </c>
      <c r="J132" s="10" t="str">
        <f>VLOOKUP(TableTemp[[#This Row],[Customer Code]],MCustomer[],2,FALSE)</f>
        <v>Erma</v>
      </c>
      <c r="K132" s="10" t="str">
        <f>VLOOKUP(TableTemp[[#This Row],[Article code]],MArticle[],2,FALSE)</f>
        <v>Women basics</v>
      </c>
      <c r="L132" s="10" t="str">
        <f>VLOOKUP(TableTemp[[#This Row],[Company]],MCompany[],3,FALSE)</f>
        <v>USD</v>
      </c>
      <c r="M132" s="15">
        <f>IF(TableTemp[[#This Row],[Currency]]="EUR",ROUND(VLOOKUP(MONTH(TableTemp[[#This Row],[Document Date]]),MExchange[],2,FALSE)*TableTemp[[#This Row],[Sales Local Currency]],2),ROUND(TableTemp[[#This Row],[Sales Local Currency]],2))</f>
        <v>850</v>
      </c>
      <c r="N132" s="52">
        <f>IF(TableTemp[[#This Row],[Reject]]="",0,TableTemp[[#This Row],[Reject]]/SUMIF(TableTemp[Company],Map!$B$9,TableTemp[Quantity]))</f>
        <v>0</v>
      </c>
    </row>
    <row r="133" spans="1:14" x14ac:dyDescent="0.25">
      <c r="A133" s="7" t="s">
        <v>29</v>
      </c>
      <c r="B133">
        <v>68101</v>
      </c>
      <c r="C133" s="8">
        <v>43390</v>
      </c>
      <c r="D133">
        <v>8010</v>
      </c>
      <c r="E133">
        <v>104</v>
      </c>
      <c r="G133">
        <v>190</v>
      </c>
      <c r="H133">
        <v>2280</v>
      </c>
      <c r="I133" s="10" t="str">
        <f>VLOOKUP(A133,MCompany[],2,FALSE)</f>
        <v>Urban Right</v>
      </c>
      <c r="J133" s="10" t="str">
        <f>VLOOKUP(TableTemp[[#This Row],[Customer Code]],MCustomer[],2,FALSE)</f>
        <v>Dellicia</v>
      </c>
      <c r="K133" s="10" t="str">
        <f>VLOOKUP(TableTemp[[#This Row],[Article code]],MArticle[],2,FALSE)</f>
        <v>Women type T simple black</v>
      </c>
      <c r="L133" s="10" t="str">
        <f>VLOOKUP(TableTemp[[#This Row],[Company]],MCompany[],3,FALSE)</f>
        <v>USD</v>
      </c>
      <c r="M133" s="15">
        <f>IF(TableTemp[[#This Row],[Currency]]="EUR",ROUND(VLOOKUP(MONTH(TableTemp[[#This Row],[Document Date]]),MExchange[],2,FALSE)*TableTemp[[#This Row],[Sales Local Currency]],2),ROUND(TableTemp[[#This Row],[Sales Local Currency]],2))</f>
        <v>2280</v>
      </c>
      <c r="N133" s="52">
        <f>IF(TableTemp[[#This Row],[Reject]]="",0,TableTemp[[#This Row],[Reject]]/SUMIF(TableTemp[Company],Map!$B$9,TableTemp[Quantity]))</f>
        <v>0</v>
      </c>
    </row>
    <row r="134" spans="1:14" x14ac:dyDescent="0.25">
      <c r="A134" s="7" t="s">
        <v>29</v>
      </c>
      <c r="B134">
        <v>68101</v>
      </c>
      <c r="C134" s="8">
        <v>43390</v>
      </c>
      <c r="D134">
        <v>8010</v>
      </c>
      <c r="E134">
        <v>105</v>
      </c>
      <c r="G134">
        <v>140</v>
      </c>
      <c r="H134">
        <v>1400</v>
      </c>
      <c r="I134" s="10" t="str">
        <f>VLOOKUP(A134,MCompany[],2,FALSE)</f>
        <v>Urban Right</v>
      </c>
      <c r="J134" s="10" t="str">
        <f>VLOOKUP(TableTemp[[#This Row],[Customer Code]],MCustomer[],2,FALSE)</f>
        <v>Dellicia</v>
      </c>
      <c r="K134" s="10" t="str">
        <f>VLOOKUP(TableTemp[[#This Row],[Article code]],MArticle[],2,FALSE)</f>
        <v>Women crop top black</v>
      </c>
      <c r="L134" s="10" t="str">
        <f>VLOOKUP(TableTemp[[#This Row],[Company]],MCompany[],3,FALSE)</f>
        <v>USD</v>
      </c>
      <c r="M134" s="15">
        <f>IF(TableTemp[[#This Row],[Currency]]="EUR",ROUND(VLOOKUP(MONTH(TableTemp[[#This Row],[Document Date]]),MExchange[],2,FALSE)*TableTemp[[#This Row],[Sales Local Currency]],2),ROUND(TableTemp[[#This Row],[Sales Local Currency]],2))</f>
        <v>1400</v>
      </c>
      <c r="N134" s="52">
        <f>IF(TableTemp[[#This Row],[Reject]]="",0,TableTemp[[#This Row],[Reject]]/SUMIF(TableTemp[Company],Map!$B$9,TableTemp[Quantity]))</f>
        <v>0</v>
      </c>
    </row>
    <row r="135" spans="1:14" x14ac:dyDescent="0.25">
      <c r="A135" s="7" t="s">
        <v>29</v>
      </c>
      <c r="B135">
        <v>65627</v>
      </c>
      <c r="C135" s="8">
        <v>43394</v>
      </c>
      <c r="D135">
        <v>8020</v>
      </c>
      <c r="E135">
        <v>103</v>
      </c>
      <c r="G135">
        <v>140</v>
      </c>
      <c r="H135">
        <v>1680</v>
      </c>
      <c r="I135" s="10" t="str">
        <f>VLOOKUP(A135,MCompany[],2,FALSE)</f>
        <v>Urban Right</v>
      </c>
      <c r="J135" s="10" t="str">
        <f>VLOOKUP(TableTemp[[#This Row],[Customer Code]],MCustomer[],2,FALSE)</f>
        <v>Erma</v>
      </c>
      <c r="K135" s="10" t="str">
        <f>VLOOKUP(TableTemp[[#This Row],[Article code]],MArticle[],2,FALSE)</f>
        <v>Women type T simple white</v>
      </c>
      <c r="L135" s="10" t="str">
        <f>VLOOKUP(TableTemp[[#This Row],[Company]],MCompany[],3,FALSE)</f>
        <v>USD</v>
      </c>
      <c r="M135" s="15">
        <f>IF(TableTemp[[#This Row],[Currency]]="EUR",ROUND(VLOOKUP(MONTH(TableTemp[[#This Row],[Document Date]]),MExchange[],2,FALSE)*TableTemp[[#This Row],[Sales Local Currency]],2),ROUND(TableTemp[[#This Row],[Sales Local Currency]],2))</f>
        <v>1680</v>
      </c>
      <c r="N135" s="52">
        <f>IF(TableTemp[[#This Row],[Reject]]="",0,TableTemp[[#This Row],[Reject]]/SUMIF(TableTemp[Company],Map!$B$9,TableTemp[Quantity]))</f>
        <v>0</v>
      </c>
    </row>
    <row r="136" spans="1:14" x14ac:dyDescent="0.25">
      <c r="A136" s="7" t="s">
        <v>29</v>
      </c>
      <c r="B136">
        <v>65627</v>
      </c>
      <c r="C136" s="8">
        <v>43394</v>
      </c>
      <c r="D136">
        <v>8020</v>
      </c>
      <c r="E136">
        <v>104</v>
      </c>
      <c r="F136">
        <v>3</v>
      </c>
      <c r="G136">
        <v>160</v>
      </c>
      <c r="H136">
        <v>1920</v>
      </c>
      <c r="I136" s="10" t="str">
        <f>VLOOKUP(A136,MCompany[],2,FALSE)</f>
        <v>Urban Right</v>
      </c>
      <c r="J136" s="10" t="str">
        <f>VLOOKUP(TableTemp[[#This Row],[Customer Code]],MCustomer[],2,FALSE)</f>
        <v>Erma</v>
      </c>
      <c r="K136" s="10" t="str">
        <f>VLOOKUP(TableTemp[[#This Row],[Article code]],MArticle[],2,FALSE)</f>
        <v>Women type T simple black</v>
      </c>
      <c r="L136" s="10" t="str">
        <f>VLOOKUP(TableTemp[[#This Row],[Company]],MCompany[],3,FALSE)</f>
        <v>USD</v>
      </c>
      <c r="M136" s="15">
        <f>IF(TableTemp[[#This Row],[Currency]]="EUR",ROUND(VLOOKUP(MONTH(TableTemp[[#This Row],[Document Date]]),MExchange[],2,FALSE)*TableTemp[[#This Row],[Sales Local Currency]],2),ROUND(TableTemp[[#This Row],[Sales Local Currency]],2))</f>
        <v>1920</v>
      </c>
      <c r="N136" s="52">
        <f>IF(TableTemp[[#This Row],[Reject]]="",0,TableTemp[[#This Row],[Reject]]/SUMIF(TableTemp[Company],Map!$B$9,TableTemp[Quantity]))</f>
        <v>4.9019607843137254E-4</v>
      </c>
    </row>
    <row r="137" spans="1:14" x14ac:dyDescent="0.25">
      <c r="A137" s="7" t="s">
        <v>29</v>
      </c>
      <c r="B137">
        <v>65629</v>
      </c>
      <c r="C137" s="8">
        <v>43394</v>
      </c>
      <c r="D137">
        <v>8010</v>
      </c>
      <c r="E137">
        <v>103</v>
      </c>
      <c r="G137">
        <v>190</v>
      </c>
      <c r="H137">
        <v>2280</v>
      </c>
      <c r="I137" s="10" t="str">
        <f>VLOOKUP(A137,MCompany[],2,FALSE)</f>
        <v>Urban Right</v>
      </c>
      <c r="J137" s="10" t="str">
        <f>VLOOKUP(TableTemp[[#This Row],[Customer Code]],MCustomer[],2,FALSE)</f>
        <v>Dellicia</v>
      </c>
      <c r="K137" s="10" t="str">
        <f>VLOOKUP(TableTemp[[#This Row],[Article code]],MArticle[],2,FALSE)</f>
        <v>Women type T simple white</v>
      </c>
      <c r="L137" s="10" t="str">
        <f>VLOOKUP(TableTemp[[#This Row],[Company]],MCompany[],3,FALSE)</f>
        <v>USD</v>
      </c>
      <c r="M137" s="15">
        <f>IF(TableTemp[[#This Row],[Currency]]="EUR",ROUND(VLOOKUP(MONTH(TableTemp[[#This Row],[Document Date]]),MExchange[],2,FALSE)*TableTemp[[#This Row],[Sales Local Currency]],2),ROUND(TableTemp[[#This Row],[Sales Local Currency]],2))</f>
        <v>2280</v>
      </c>
      <c r="N137" s="52">
        <f>IF(TableTemp[[#This Row],[Reject]]="",0,TableTemp[[#This Row],[Reject]]/SUMIF(TableTemp[Company],Map!$B$9,TableTemp[Quantity]))</f>
        <v>0</v>
      </c>
    </row>
    <row r="138" spans="1:14" x14ac:dyDescent="0.25">
      <c r="A138" s="7" t="s">
        <v>29</v>
      </c>
      <c r="B138">
        <v>65629</v>
      </c>
      <c r="C138" s="8">
        <v>43394</v>
      </c>
      <c r="D138">
        <v>8010</v>
      </c>
      <c r="E138">
        <v>104</v>
      </c>
      <c r="G138">
        <v>130</v>
      </c>
      <c r="H138">
        <v>1560</v>
      </c>
      <c r="I138" s="10" t="str">
        <f>VLOOKUP(A138,MCompany[],2,FALSE)</f>
        <v>Urban Right</v>
      </c>
      <c r="J138" s="10" t="str">
        <f>VLOOKUP(TableTemp[[#This Row],[Customer Code]],MCustomer[],2,FALSE)</f>
        <v>Dellicia</v>
      </c>
      <c r="K138" s="10" t="str">
        <f>VLOOKUP(TableTemp[[#This Row],[Article code]],MArticle[],2,FALSE)</f>
        <v>Women type T simple black</v>
      </c>
      <c r="L138" s="10" t="str">
        <f>VLOOKUP(TableTemp[[#This Row],[Company]],MCompany[],3,FALSE)</f>
        <v>USD</v>
      </c>
      <c r="M138" s="15">
        <f>IF(TableTemp[[#This Row],[Currency]]="EUR",ROUND(VLOOKUP(MONTH(TableTemp[[#This Row],[Document Date]]),MExchange[],2,FALSE)*TableTemp[[#This Row],[Sales Local Currency]],2),ROUND(TableTemp[[#This Row],[Sales Local Currency]],2))</f>
        <v>1560</v>
      </c>
      <c r="N138" s="52">
        <f>IF(TableTemp[[#This Row],[Reject]]="",0,TableTemp[[#This Row],[Reject]]/SUMIF(TableTemp[Company],Map!$B$9,TableTemp[Quantity]))</f>
        <v>0</v>
      </c>
    </row>
    <row r="139" spans="1:14" x14ac:dyDescent="0.25">
      <c r="A139" s="7" t="s">
        <v>29</v>
      </c>
      <c r="B139">
        <v>65629</v>
      </c>
      <c r="C139" s="8">
        <v>43394</v>
      </c>
      <c r="D139">
        <v>8010</v>
      </c>
      <c r="E139">
        <v>105</v>
      </c>
      <c r="G139">
        <v>140</v>
      </c>
      <c r="H139">
        <v>1400</v>
      </c>
      <c r="I139" s="10" t="str">
        <f>VLOOKUP(A139,MCompany[],2,FALSE)</f>
        <v>Urban Right</v>
      </c>
      <c r="J139" s="10" t="str">
        <f>VLOOKUP(TableTemp[[#This Row],[Customer Code]],MCustomer[],2,FALSE)</f>
        <v>Dellicia</v>
      </c>
      <c r="K139" s="10" t="str">
        <f>VLOOKUP(TableTemp[[#This Row],[Article code]],MArticle[],2,FALSE)</f>
        <v>Women crop top black</v>
      </c>
      <c r="L139" s="10" t="str">
        <f>VLOOKUP(TableTemp[[#This Row],[Company]],MCompany[],3,FALSE)</f>
        <v>USD</v>
      </c>
      <c r="M139" s="15">
        <f>IF(TableTemp[[#This Row],[Currency]]="EUR",ROUND(VLOOKUP(MONTH(TableTemp[[#This Row],[Document Date]]),MExchange[],2,FALSE)*TableTemp[[#This Row],[Sales Local Currency]],2),ROUND(TableTemp[[#This Row],[Sales Local Currency]],2))</f>
        <v>1400</v>
      </c>
      <c r="N139" s="52">
        <f>IF(TableTemp[[#This Row],[Reject]]="",0,TableTemp[[#This Row],[Reject]]/SUMIF(TableTemp[Company],Map!$B$9,TableTemp[Quantity]))</f>
        <v>0</v>
      </c>
    </row>
    <row r="140" spans="1:14" x14ac:dyDescent="0.25">
      <c r="A140" s="7" t="s">
        <v>29</v>
      </c>
      <c r="B140">
        <v>65631</v>
      </c>
      <c r="C140" s="8">
        <v>43394</v>
      </c>
      <c r="D140">
        <v>8020</v>
      </c>
      <c r="E140">
        <v>107</v>
      </c>
      <c r="G140">
        <v>190</v>
      </c>
      <c r="H140">
        <v>950</v>
      </c>
      <c r="I140" s="10" t="str">
        <f>VLOOKUP(A140,MCompany[],2,FALSE)</f>
        <v>Urban Right</v>
      </c>
      <c r="J140" s="10" t="str">
        <f>VLOOKUP(TableTemp[[#This Row],[Customer Code]],MCustomer[],2,FALSE)</f>
        <v>Erma</v>
      </c>
      <c r="K140" s="10" t="str">
        <f>VLOOKUP(TableTemp[[#This Row],[Article code]],MArticle[],2,FALSE)</f>
        <v>Women basics</v>
      </c>
      <c r="L140" s="10" t="str">
        <f>VLOOKUP(TableTemp[[#This Row],[Company]],MCompany[],3,FALSE)</f>
        <v>USD</v>
      </c>
      <c r="M140" s="15">
        <f>IF(TableTemp[[#This Row],[Currency]]="EUR",ROUND(VLOOKUP(MONTH(TableTemp[[#This Row],[Document Date]]),MExchange[],2,FALSE)*TableTemp[[#This Row],[Sales Local Currency]],2),ROUND(TableTemp[[#This Row],[Sales Local Currency]],2))</f>
        <v>950</v>
      </c>
      <c r="N140" s="52">
        <f>IF(TableTemp[[#This Row],[Reject]]="",0,TableTemp[[#This Row],[Reject]]/SUMIF(TableTemp[Company],Map!$B$9,TableTemp[Quantity]))</f>
        <v>0</v>
      </c>
    </row>
    <row r="141" spans="1:14" x14ac:dyDescent="0.25">
      <c r="A141" s="7" t="s">
        <v>29</v>
      </c>
      <c r="B141">
        <v>65631</v>
      </c>
      <c r="C141" s="8">
        <v>43394</v>
      </c>
      <c r="D141">
        <v>8020</v>
      </c>
      <c r="E141">
        <v>103</v>
      </c>
      <c r="G141">
        <v>120</v>
      </c>
      <c r="H141">
        <v>1440</v>
      </c>
      <c r="I141" s="10" t="str">
        <f>VLOOKUP(A141,MCompany[],2,FALSE)</f>
        <v>Urban Right</v>
      </c>
      <c r="J141" s="10" t="str">
        <f>VLOOKUP(TableTemp[[#This Row],[Customer Code]],MCustomer[],2,FALSE)</f>
        <v>Erma</v>
      </c>
      <c r="K141" s="10" t="str">
        <f>VLOOKUP(TableTemp[[#This Row],[Article code]],MArticle[],2,FALSE)</f>
        <v>Women type T simple white</v>
      </c>
      <c r="L141" s="10" t="str">
        <f>VLOOKUP(TableTemp[[#This Row],[Company]],MCompany[],3,FALSE)</f>
        <v>USD</v>
      </c>
      <c r="M141" s="15">
        <f>IF(TableTemp[[#This Row],[Currency]]="EUR",ROUND(VLOOKUP(MONTH(TableTemp[[#This Row],[Document Date]]),MExchange[],2,FALSE)*TableTemp[[#This Row],[Sales Local Currency]],2),ROUND(TableTemp[[#This Row],[Sales Local Currency]],2))</f>
        <v>1440</v>
      </c>
      <c r="N141" s="52">
        <f>IF(TableTemp[[#This Row],[Reject]]="",0,TableTemp[[#This Row],[Reject]]/SUMIF(TableTemp[Company],Map!$B$9,TableTemp[Quantity]))</f>
        <v>0</v>
      </c>
    </row>
    <row r="142" spans="1:14" x14ac:dyDescent="0.25">
      <c r="A142" s="7"/>
      <c r="B142" s="7"/>
      <c r="C142" s="7"/>
      <c r="D142" s="7"/>
      <c r="E142" s="7"/>
      <c r="F142" s="7"/>
      <c r="G142" s="7"/>
      <c r="H142" s="7"/>
      <c r="I142" s="10"/>
      <c r="J142" s="10"/>
      <c r="K142" s="10"/>
      <c r="L142" s="10"/>
      <c r="M142" s="15"/>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41"/>
  <sheetViews>
    <sheetView workbookViewId="0">
      <selection activeCell="D100" sqref="D100:H141"/>
    </sheetView>
  </sheetViews>
  <sheetFormatPr defaultColWidth="9.109375" defaultRowHeight="13.2" x14ac:dyDescent="0.25"/>
  <cols>
    <col min="1" max="1" width="13.5546875" style="7" customWidth="1"/>
    <col min="2" max="8" width="16" style="7" customWidth="1"/>
    <col min="9" max="16384" width="9.109375" style="7"/>
  </cols>
  <sheetData>
    <row r="1" spans="1:8" s="9" customFormat="1" x14ac:dyDescent="0.25">
      <c r="A1" s="47" t="s">
        <v>40</v>
      </c>
      <c r="B1" s="47" t="s">
        <v>3</v>
      </c>
      <c r="C1" s="47" t="s">
        <v>41</v>
      </c>
      <c r="D1" s="47" t="s">
        <v>55</v>
      </c>
      <c r="E1" s="47" t="s">
        <v>58</v>
      </c>
      <c r="F1" s="47" t="s">
        <v>44</v>
      </c>
      <c r="G1" s="47" t="s">
        <v>42</v>
      </c>
      <c r="H1" s="47" t="s">
        <v>43</v>
      </c>
    </row>
    <row r="2" spans="1:8" x14ac:dyDescent="0.25">
      <c r="A2" s="7" t="s">
        <v>31</v>
      </c>
      <c r="B2">
        <v>84030</v>
      </c>
      <c r="C2" s="8">
        <v>43380</v>
      </c>
      <c r="D2">
        <v>8050</v>
      </c>
      <c r="E2">
        <v>120</v>
      </c>
      <c r="F2" t="s">
        <v>2</v>
      </c>
      <c r="G2">
        <v>120</v>
      </c>
      <c r="H2">
        <v>6960</v>
      </c>
    </row>
    <row r="3" spans="1:8" x14ac:dyDescent="0.25">
      <c r="A3" s="7" t="s">
        <v>31</v>
      </c>
      <c r="B3">
        <v>84030</v>
      </c>
      <c r="C3" s="8">
        <v>43380</v>
      </c>
      <c r="D3">
        <v>8050</v>
      </c>
      <c r="E3">
        <v>104</v>
      </c>
      <c r="F3">
        <v>1</v>
      </c>
      <c r="G3">
        <v>430</v>
      </c>
      <c r="H3">
        <v>5160</v>
      </c>
    </row>
    <row r="4" spans="1:8" x14ac:dyDescent="0.25">
      <c r="A4" s="7" t="s">
        <v>31</v>
      </c>
      <c r="B4">
        <v>84030</v>
      </c>
      <c r="C4" s="8">
        <v>43380</v>
      </c>
      <c r="D4">
        <v>8050</v>
      </c>
      <c r="E4">
        <v>105</v>
      </c>
      <c r="F4" t="s">
        <v>2</v>
      </c>
      <c r="G4">
        <v>120</v>
      </c>
      <c r="H4">
        <v>1200</v>
      </c>
    </row>
    <row r="5" spans="1:8" x14ac:dyDescent="0.25">
      <c r="A5" s="7" t="s">
        <v>31</v>
      </c>
      <c r="B5">
        <v>84030</v>
      </c>
      <c r="C5" s="8">
        <v>43380</v>
      </c>
      <c r="D5">
        <v>8050</v>
      </c>
      <c r="E5">
        <v>107</v>
      </c>
      <c r="F5">
        <v>1</v>
      </c>
      <c r="G5">
        <v>690</v>
      </c>
      <c r="H5">
        <v>3450</v>
      </c>
    </row>
    <row r="6" spans="1:8" x14ac:dyDescent="0.25">
      <c r="A6" s="7" t="s">
        <v>31</v>
      </c>
      <c r="B6">
        <v>84031</v>
      </c>
      <c r="C6" s="8">
        <v>43381</v>
      </c>
      <c r="D6">
        <v>8040</v>
      </c>
      <c r="E6">
        <v>104</v>
      </c>
      <c r="F6" t="s">
        <v>2</v>
      </c>
      <c r="G6">
        <v>870</v>
      </c>
      <c r="H6">
        <v>10440</v>
      </c>
    </row>
    <row r="7" spans="1:8" x14ac:dyDescent="0.25">
      <c r="A7" s="7" t="s">
        <v>31</v>
      </c>
      <c r="B7">
        <v>84031</v>
      </c>
      <c r="C7" s="8">
        <v>43381</v>
      </c>
      <c r="D7">
        <v>8040</v>
      </c>
      <c r="E7">
        <v>107</v>
      </c>
      <c r="F7" t="s">
        <v>2</v>
      </c>
      <c r="G7">
        <v>760</v>
      </c>
      <c r="H7">
        <v>3800</v>
      </c>
    </row>
    <row r="8" spans="1:8" x14ac:dyDescent="0.25">
      <c r="A8" s="7" t="s">
        <v>31</v>
      </c>
      <c r="B8">
        <v>84031</v>
      </c>
      <c r="C8" s="8">
        <v>43381</v>
      </c>
      <c r="D8">
        <v>8040</v>
      </c>
      <c r="E8">
        <v>110</v>
      </c>
      <c r="F8">
        <v>2</v>
      </c>
      <c r="G8">
        <v>500</v>
      </c>
      <c r="H8">
        <v>30000</v>
      </c>
    </row>
    <row r="9" spans="1:8" x14ac:dyDescent="0.25">
      <c r="A9" s="7" t="s">
        <v>31</v>
      </c>
      <c r="B9">
        <v>88112</v>
      </c>
      <c r="C9" s="8">
        <v>43384</v>
      </c>
      <c r="D9">
        <v>8040</v>
      </c>
      <c r="E9">
        <v>110</v>
      </c>
      <c r="F9"/>
      <c r="G9">
        <v>480</v>
      </c>
      <c r="H9">
        <v>28800</v>
      </c>
    </row>
    <row r="10" spans="1:8" x14ac:dyDescent="0.25">
      <c r="A10" s="7" t="s">
        <v>31</v>
      </c>
      <c r="B10">
        <v>88112</v>
      </c>
      <c r="C10" s="8">
        <v>43384</v>
      </c>
      <c r="D10">
        <v>8040</v>
      </c>
      <c r="E10">
        <v>119</v>
      </c>
      <c r="F10" t="s">
        <v>2</v>
      </c>
      <c r="G10">
        <v>630</v>
      </c>
      <c r="H10">
        <v>39060</v>
      </c>
    </row>
    <row r="11" spans="1:8" x14ac:dyDescent="0.25">
      <c r="A11" s="7" t="s">
        <v>31</v>
      </c>
      <c r="B11">
        <v>88112</v>
      </c>
      <c r="C11" s="8">
        <v>43384</v>
      </c>
      <c r="D11">
        <v>8040</v>
      </c>
      <c r="E11">
        <v>120</v>
      </c>
      <c r="F11"/>
      <c r="G11">
        <v>150</v>
      </c>
      <c r="H11">
        <v>8700</v>
      </c>
    </row>
    <row r="12" spans="1:8" x14ac:dyDescent="0.25">
      <c r="A12" s="7" t="s">
        <v>31</v>
      </c>
      <c r="B12">
        <v>88112</v>
      </c>
      <c r="C12" s="8">
        <v>43384</v>
      </c>
      <c r="D12">
        <v>8040</v>
      </c>
      <c r="E12">
        <v>116</v>
      </c>
      <c r="F12">
        <v>4</v>
      </c>
      <c r="G12">
        <v>760</v>
      </c>
      <c r="H12">
        <v>4560</v>
      </c>
    </row>
    <row r="13" spans="1:8" x14ac:dyDescent="0.25">
      <c r="A13" s="7" t="s">
        <v>31</v>
      </c>
      <c r="B13">
        <v>88112</v>
      </c>
      <c r="C13" s="8">
        <v>43384</v>
      </c>
      <c r="D13">
        <v>8040</v>
      </c>
      <c r="E13">
        <v>111</v>
      </c>
      <c r="F13"/>
      <c r="G13">
        <v>590</v>
      </c>
      <c r="H13">
        <v>11800</v>
      </c>
    </row>
    <row r="14" spans="1:8" x14ac:dyDescent="0.25">
      <c r="A14" s="7" t="s">
        <v>31</v>
      </c>
      <c r="B14">
        <v>88112</v>
      </c>
      <c r="C14" s="8">
        <v>43384</v>
      </c>
      <c r="D14">
        <v>8040</v>
      </c>
      <c r="E14">
        <v>110</v>
      </c>
      <c r="F14"/>
      <c r="G14">
        <v>530</v>
      </c>
      <c r="H14">
        <v>31800</v>
      </c>
    </row>
    <row r="15" spans="1:8" x14ac:dyDescent="0.25">
      <c r="A15" s="7" t="s">
        <v>31</v>
      </c>
      <c r="B15">
        <v>88112</v>
      </c>
      <c r="C15" s="8">
        <v>43384</v>
      </c>
      <c r="D15">
        <v>8040</v>
      </c>
      <c r="E15">
        <v>109</v>
      </c>
      <c r="F15"/>
      <c r="G15">
        <v>260</v>
      </c>
      <c r="H15">
        <v>7280</v>
      </c>
    </row>
    <row r="16" spans="1:8" x14ac:dyDescent="0.25">
      <c r="A16" s="7" t="s">
        <v>31</v>
      </c>
      <c r="B16">
        <v>85442</v>
      </c>
      <c r="C16" s="8">
        <v>43388</v>
      </c>
      <c r="D16">
        <v>8050</v>
      </c>
      <c r="E16">
        <v>107</v>
      </c>
      <c r="F16"/>
      <c r="G16">
        <v>270</v>
      </c>
      <c r="H16">
        <v>1350</v>
      </c>
    </row>
    <row r="17" spans="1:8" x14ac:dyDescent="0.25">
      <c r="A17" s="7" t="s">
        <v>31</v>
      </c>
      <c r="B17">
        <v>85442</v>
      </c>
      <c r="C17" s="8">
        <v>43388</v>
      </c>
      <c r="D17">
        <v>8050</v>
      </c>
      <c r="E17">
        <v>103</v>
      </c>
      <c r="F17"/>
      <c r="G17">
        <v>630</v>
      </c>
      <c r="H17">
        <v>7560</v>
      </c>
    </row>
    <row r="18" spans="1:8" x14ac:dyDescent="0.25">
      <c r="A18" s="7" t="s">
        <v>31</v>
      </c>
      <c r="B18">
        <v>85442</v>
      </c>
      <c r="C18" s="8">
        <v>43388</v>
      </c>
      <c r="D18">
        <v>8050</v>
      </c>
      <c r="E18">
        <v>104</v>
      </c>
      <c r="F18"/>
      <c r="G18">
        <v>440</v>
      </c>
      <c r="H18">
        <v>5280</v>
      </c>
    </row>
    <row r="19" spans="1:8" x14ac:dyDescent="0.25">
      <c r="A19" s="7" t="s">
        <v>31</v>
      </c>
      <c r="B19">
        <v>85442</v>
      </c>
      <c r="C19" s="8">
        <v>43388</v>
      </c>
      <c r="D19">
        <v>8050</v>
      </c>
      <c r="E19">
        <v>120</v>
      </c>
      <c r="F19"/>
      <c r="G19">
        <v>500</v>
      </c>
      <c r="H19">
        <v>29000</v>
      </c>
    </row>
    <row r="20" spans="1:8" x14ac:dyDescent="0.25">
      <c r="A20" s="7" t="s">
        <v>31</v>
      </c>
      <c r="B20">
        <v>85442</v>
      </c>
      <c r="C20" s="8">
        <v>43388</v>
      </c>
      <c r="D20">
        <v>8050</v>
      </c>
      <c r="E20">
        <v>119</v>
      </c>
      <c r="F20">
        <v>1</v>
      </c>
      <c r="G20">
        <v>360</v>
      </c>
      <c r="H20">
        <v>22320</v>
      </c>
    </row>
    <row r="21" spans="1:8" x14ac:dyDescent="0.25">
      <c r="A21" s="7" t="s">
        <v>31</v>
      </c>
      <c r="B21">
        <v>85442</v>
      </c>
      <c r="C21" s="8">
        <v>43388</v>
      </c>
      <c r="D21">
        <v>8050</v>
      </c>
      <c r="E21">
        <v>115</v>
      </c>
      <c r="F21"/>
      <c r="G21">
        <v>810</v>
      </c>
      <c r="H21">
        <v>4860</v>
      </c>
    </row>
    <row r="22" spans="1:8" x14ac:dyDescent="0.25">
      <c r="A22" s="7" t="s">
        <v>31</v>
      </c>
      <c r="B22">
        <v>85442</v>
      </c>
      <c r="C22" s="8">
        <v>43388</v>
      </c>
      <c r="D22">
        <v>8050</v>
      </c>
      <c r="E22">
        <v>108</v>
      </c>
      <c r="F22"/>
      <c r="G22">
        <v>800</v>
      </c>
      <c r="H22">
        <v>22400</v>
      </c>
    </row>
    <row r="23" spans="1:8" x14ac:dyDescent="0.25">
      <c r="A23" s="7" t="s">
        <v>31</v>
      </c>
      <c r="B23">
        <v>88588</v>
      </c>
      <c r="C23" s="8">
        <v>43388</v>
      </c>
      <c r="D23">
        <v>8040</v>
      </c>
      <c r="E23">
        <v>120</v>
      </c>
      <c r="F23"/>
      <c r="G23">
        <v>470</v>
      </c>
      <c r="H23">
        <v>27260</v>
      </c>
    </row>
    <row r="24" spans="1:8" x14ac:dyDescent="0.25">
      <c r="A24" s="7" t="s">
        <v>31</v>
      </c>
      <c r="B24">
        <v>88588</v>
      </c>
      <c r="C24" s="8">
        <v>43388</v>
      </c>
      <c r="D24">
        <v>8040</v>
      </c>
      <c r="E24">
        <v>119</v>
      </c>
      <c r="F24"/>
      <c r="G24">
        <v>860</v>
      </c>
      <c r="H24">
        <v>53320</v>
      </c>
    </row>
    <row r="25" spans="1:8" x14ac:dyDescent="0.25">
      <c r="A25" s="7" t="s">
        <v>31</v>
      </c>
      <c r="B25">
        <v>88588</v>
      </c>
      <c r="C25" s="8">
        <v>43388</v>
      </c>
      <c r="D25">
        <v>8040</v>
      </c>
      <c r="E25">
        <v>110</v>
      </c>
      <c r="F25"/>
      <c r="G25">
        <v>180</v>
      </c>
      <c r="H25">
        <v>10800</v>
      </c>
    </row>
    <row r="26" spans="1:8" x14ac:dyDescent="0.25">
      <c r="A26" s="7" t="s">
        <v>31</v>
      </c>
      <c r="B26">
        <v>88588</v>
      </c>
      <c r="C26" s="8">
        <v>43388</v>
      </c>
      <c r="D26">
        <v>8040</v>
      </c>
      <c r="E26">
        <v>111</v>
      </c>
      <c r="F26"/>
      <c r="G26">
        <v>750</v>
      </c>
      <c r="H26">
        <v>15000</v>
      </c>
    </row>
    <row r="27" spans="1:8" x14ac:dyDescent="0.25">
      <c r="A27" s="7" t="s">
        <v>31</v>
      </c>
      <c r="B27">
        <v>88588</v>
      </c>
      <c r="C27" s="8">
        <v>43388</v>
      </c>
      <c r="D27">
        <v>8040</v>
      </c>
      <c r="E27">
        <v>109</v>
      </c>
      <c r="F27"/>
      <c r="G27">
        <v>560</v>
      </c>
      <c r="H27">
        <v>15680</v>
      </c>
    </row>
    <row r="28" spans="1:8" x14ac:dyDescent="0.25">
      <c r="A28" s="7" t="s">
        <v>31</v>
      </c>
      <c r="B28">
        <v>88588</v>
      </c>
      <c r="C28" s="8">
        <v>43388</v>
      </c>
      <c r="D28">
        <v>8040</v>
      </c>
      <c r="E28">
        <v>105</v>
      </c>
      <c r="F28"/>
      <c r="G28">
        <v>130</v>
      </c>
      <c r="H28">
        <v>1300</v>
      </c>
    </row>
    <row r="29" spans="1:8" x14ac:dyDescent="0.25">
      <c r="A29" s="7" t="s">
        <v>31</v>
      </c>
      <c r="B29">
        <v>88588</v>
      </c>
      <c r="C29" s="8">
        <v>43388</v>
      </c>
      <c r="D29">
        <v>8040</v>
      </c>
      <c r="E29">
        <v>103</v>
      </c>
      <c r="F29"/>
      <c r="G29">
        <v>110</v>
      </c>
      <c r="H29">
        <v>1320</v>
      </c>
    </row>
    <row r="30" spans="1:8" x14ac:dyDescent="0.25">
      <c r="A30" s="7" t="s">
        <v>31</v>
      </c>
      <c r="B30">
        <v>88544</v>
      </c>
      <c r="C30" s="8">
        <v>43395</v>
      </c>
      <c r="D30">
        <v>8040</v>
      </c>
      <c r="E30">
        <v>107</v>
      </c>
      <c r="F30"/>
      <c r="G30">
        <v>770</v>
      </c>
      <c r="H30">
        <v>3850</v>
      </c>
    </row>
    <row r="31" spans="1:8" x14ac:dyDescent="0.25">
      <c r="A31" s="7" t="s">
        <v>31</v>
      </c>
      <c r="B31">
        <v>88544</v>
      </c>
      <c r="C31" s="8">
        <v>43395</v>
      </c>
      <c r="D31">
        <v>8040</v>
      </c>
      <c r="E31">
        <v>120</v>
      </c>
      <c r="F31"/>
      <c r="G31">
        <v>300</v>
      </c>
      <c r="H31">
        <v>17400</v>
      </c>
    </row>
    <row r="32" spans="1:8" x14ac:dyDescent="0.25">
      <c r="A32" s="7" t="s">
        <v>31</v>
      </c>
      <c r="B32">
        <v>88666</v>
      </c>
      <c r="C32" s="8">
        <v>43399</v>
      </c>
      <c r="D32">
        <v>8030</v>
      </c>
      <c r="E32">
        <v>119</v>
      </c>
      <c r="F32"/>
      <c r="G32">
        <v>330</v>
      </c>
      <c r="H32">
        <v>20460</v>
      </c>
    </row>
    <row r="33" spans="1:8" x14ac:dyDescent="0.25">
      <c r="A33" s="7" t="s">
        <v>31</v>
      </c>
      <c r="B33">
        <v>88666</v>
      </c>
      <c r="C33" s="8">
        <v>43399</v>
      </c>
      <c r="D33">
        <v>8030</v>
      </c>
      <c r="E33">
        <v>107</v>
      </c>
      <c r="F33"/>
      <c r="G33">
        <v>460</v>
      </c>
      <c r="H33">
        <v>2300</v>
      </c>
    </row>
    <row r="34" spans="1:8" x14ac:dyDescent="0.25">
      <c r="A34" s="7" t="s">
        <v>31</v>
      </c>
      <c r="B34">
        <v>88666</v>
      </c>
      <c r="C34" s="8">
        <v>43399</v>
      </c>
      <c r="D34">
        <v>8030</v>
      </c>
      <c r="E34">
        <v>105</v>
      </c>
      <c r="F34">
        <v>1</v>
      </c>
      <c r="G34">
        <v>470</v>
      </c>
      <c r="H34">
        <v>4700</v>
      </c>
    </row>
    <row r="35" spans="1:8" x14ac:dyDescent="0.25">
      <c r="A35" s="7" t="s">
        <v>31</v>
      </c>
      <c r="B35">
        <v>88666</v>
      </c>
      <c r="C35" s="8">
        <v>43399</v>
      </c>
      <c r="D35">
        <v>8030</v>
      </c>
      <c r="E35">
        <v>115</v>
      </c>
      <c r="F35"/>
      <c r="G35">
        <v>390</v>
      </c>
      <c r="H35">
        <v>2340</v>
      </c>
    </row>
    <row r="36" spans="1:8" x14ac:dyDescent="0.25">
      <c r="A36" s="7" t="s">
        <v>31</v>
      </c>
      <c r="B36">
        <v>88666</v>
      </c>
      <c r="C36" s="8">
        <v>43399</v>
      </c>
      <c r="D36">
        <v>8030</v>
      </c>
      <c r="E36">
        <v>116</v>
      </c>
      <c r="F36"/>
      <c r="G36">
        <v>260</v>
      </c>
      <c r="H36">
        <v>1560</v>
      </c>
    </row>
    <row r="37" spans="1:8" x14ac:dyDescent="0.25">
      <c r="A37" s="7" t="s">
        <v>32</v>
      </c>
      <c r="B37">
        <v>44030</v>
      </c>
      <c r="C37" s="8">
        <v>43377</v>
      </c>
      <c r="D37">
        <v>8060</v>
      </c>
      <c r="E37">
        <v>108</v>
      </c>
      <c r="F37" t="s">
        <v>2</v>
      </c>
      <c r="G37">
        <v>60</v>
      </c>
      <c r="H37">
        <v>1680</v>
      </c>
    </row>
    <row r="38" spans="1:8" x14ac:dyDescent="0.25">
      <c r="A38" s="7" t="s">
        <v>32</v>
      </c>
      <c r="B38">
        <v>44030</v>
      </c>
      <c r="C38" s="8">
        <v>43377</v>
      </c>
      <c r="D38">
        <v>8060</v>
      </c>
      <c r="E38">
        <v>109</v>
      </c>
      <c r="F38">
        <v>1</v>
      </c>
      <c r="G38">
        <v>60</v>
      </c>
      <c r="H38">
        <v>1680</v>
      </c>
    </row>
    <row r="39" spans="1:8" x14ac:dyDescent="0.25">
      <c r="A39" s="7" t="s">
        <v>32</v>
      </c>
      <c r="B39">
        <v>44032</v>
      </c>
      <c r="C39" s="8">
        <v>43380</v>
      </c>
      <c r="D39">
        <v>8060</v>
      </c>
      <c r="E39">
        <v>108</v>
      </c>
      <c r="F39" t="s">
        <v>2</v>
      </c>
      <c r="G39">
        <v>60</v>
      </c>
      <c r="H39">
        <v>1680</v>
      </c>
    </row>
    <row r="40" spans="1:8" x14ac:dyDescent="0.25">
      <c r="A40" s="7" t="s">
        <v>32</v>
      </c>
      <c r="B40">
        <v>44032</v>
      </c>
      <c r="C40" s="8">
        <v>43380</v>
      </c>
      <c r="D40">
        <v>8060</v>
      </c>
      <c r="E40">
        <v>109</v>
      </c>
      <c r="F40"/>
      <c r="G40">
        <v>70</v>
      </c>
      <c r="H40">
        <v>1960</v>
      </c>
    </row>
    <row r="41" spans="1:8" x14ac:dyDescent="0.25">
      <c r="A41" s="7" t="s">
        <v>32</v>
      </c>
      <c r="B41">
        <v>44031</v>
      </c>
      <c r="C41" s="8">
        <v>43381</v>
      </c>
      <c r="D41">
        <v>8050</v>
      </c>
      <c r="E41">
        <v>108</v>
      </c>
      <c r="F41" t="s">
        <v>2</v>
      </c>
      <c r="G41">
        <v>60</v>
      </c>
      <c r="H41">
        <v>1680</v>
      </c>
    </row>
    <row r="42" spans="1:8" x14ac:dyDescent="0.25">
      <c r="A42" s="7" t="s">
        <v>32</v>
      </c>
      <c r="B42">
        <v>44031</v>
      </c>
      <c r="C42" s="8">
        <v>43381</v>
      </c>
      <c r="D42">
        <v>8050</v>
      </c>
      <c r="E42">
        <v>109</v>
      </c>
      <c r="F42" t="s">
        <v>2</v>
      </c>
      <c r="G42">
        <v>50</v>
      </c>
      <c r="H42">
        <v>1400</v>
      </c>
    </row>
    <row r="43" spans="1:8" x14ac:dyDescent="0.25">
      <c r="A43" s="7" t="s">
        <v>32</v>
      </c>
      <c r="B43">
        <v>44031</v>
      </c>
      <c r="C43" s="8">
        <v>43381</v>
      </c>
      <c r="D43">
        <v>8050</v>
      </c>
      <c r="E43">
        <v>110</v>
      </c>
      <c r="F43" t="s">
        <v>2</v>
      </c>
      <c r="G43">
        <v>60</v>
      </c>
      <c r="H43">
        <v>3600</v>
      </c>
    </row>
    <row r="44" spans="1:8" x14ac:dyDescent="0.25">
      <c r="A44" s="7" t="s">
        <v>32</v>
      </c>
      <c r="B44">
        <v>48112</v>
      </c>
      <c r="C44" s="8">
        <v>43384</v>
      </c>
      <c r="D44">
        <v>8060</v>
      </c>
      <c r="E44">
        <v>109</v>
      </c>
      <c r="F44"/>
      <c r="G44">
        <v>60</v>
      </c>
      <c r="H44">
        <v>1680</v>
      </c>
    </row>
    <row r="45" spans="1:8" x14ac:dyDescent="0.25">
      <c r="A45" s="7" t="s">
        <v>32</v>
      </c>
      <c r="B45">
        <v>48112</v>
      </c>
      <c r="C45" s="8">
        <v>43384</v>
      </c>
      <c r="D45">
        <v>8060</v>
      </c>
      <c r="E45">
        <v>110</v>
      </c>
      <c r="F45" t="s">
        <v>2</v>
      </c>
      <c r="G45">
        <v>50</v>
      </c>
      <c r="H45">
        <v>3000</v>
      </c>
    </row>
    <row r="46" spans="1:8" x14ac:dyDescent="0.25">
      <c r="A46" s="7" t="s">
        <v>32</v>
      </c>
      <c r="B46">
        <v>48114</v>
      </c>
      <c r="C46" s="8">
        <v>43384</v>
      </c>
      <c r="D46">
        <v>8050</v>
      </c>
      <c r="E46">
        <v>109</v>
      </c>
      <c r="F46"/>
      <c r="G46">
        <v>60</v>
      </c>
      <c r="H46">
        <v>1680</v>
      </c>
    </row>
    <row r="47" spans="1:8" x14ac:dyDescent="0.25">
      <c r="A47" s="7" t="s">
        <v>32</v>
      </c>
      <c r="B47">
        <v>48114</v>
      </c>
      <c r="C47" s="8">
        <v>43384</v>
      </c>
      <c r="D47">
        <v>8050</v>
      </c>
      <c r="E47">
        <v>110</v>
      </c>
      <c r="F47"/>
      <c r="G47">
        <v>60</v>
      </c>
      <c r="H47">
        <v>3600</v>
      </c>
    </row>
    <row r="48" spans="1:8" x14ac:dyDescent="0.25">
      <c r="A48" s="7" t="s">
        <v>32</v>
      </c>
      <c r="B48">
        <v>48114</v>
      </c>
      <c r="C48" s="8">
        <v>43384</v>
      </c>
      <c r="D48">
        <v>8050</v>
      </c>
      <c r="E48">
        <v>111</v>
      </c>
      <c r="F48"/>
      <c r="G48">
        <v>80</v>
      </c>
      <c r="H48">
        <v>1600</v>
      </c>
    </row>
    <row r="49" spans="1:8" x14ac:dyDescent="0.25">
      <c r="A49" s="7" t="s">
        <v>32</v>
      </c>
      <c r="B49">
        <v>48116</v>
      </c>
      <c r="C49" s="8">
        <v>43384</v>
      </c>
      <c r="D49">
        <v>8060</v>
      </c>
      <c r="E49">
        <v>109</v>
      </c>
      <c r="F49"/>
      <c r="G49">
        <v>60</v>
      </c>
      <c r="H49">
        <v>1680</v>
      </c>
    </row>
    <row r="50" spans="1:8" x14ac:dyDescent="0.25">
      <c r="A50" s="7" t="s">
        <v>32</v>
      </c>
      <c r="B50">
        <v>48116</v>
      </c>
      <c r="C50" s="8">
        <v>43384</v>
      </c>
      <c r="D50">
        <v>8060</v>
      </c>
      <c r="E50">
        <v>110</v>
      </c>
      <c r="F50"/>
      <c r="G50">
        <v>60</v>
      </c>
      <c r="H50">
        <v>3600</v>
      </c>
    </row>
    <row r="51" spans="1:8" x14ac:dyDescent="0.25">
      <c r="A51" s="7" t="s">
        <v>32</v>
      </c>
      <c r="B51">
        <v>45442</v>
      </c>
      <c r="C51" s="8">
        <v>43388</v>
      </c>
      <c r="D51">
        <v>8050</v>
      </c>
      <c r="E51">
        <v>108</v>
      </c>
      <c r="F51"/>
      <c r="G51">
        <v>50</v>
      </c>
      <c r="H51">
        <v>1400</v>
      </c>
    </row>
    <row r="52" spans="1:8" x14ac:dyDescent="0.25">
      <c r="A52" s="7" t="s">
        <v>32</v>
      </c>
      <c r="B52">
        <v>45442</v>
      </c>
      <c r="C52" s="8">
        <v>43388</v>
      </c>
      <c r="D52">
        <v>8050</v>
      </c>
      <c r="E52">
        <v>109</v>
      </c>
      <c r="F52">
        <v>1</v>
      </c>
      <c r="G52">
        <v>60</v>
      </c>
      <c r="H52">
        <v>1680</v>
      </c>
    </row>
    <row r="53" spans="1:8" x14ac:dyDescent="0.25">
      <c r="A53" s="7" t="s">
        <v>32</v>
      </c>
      <c r="B53">
        <v>45444</v>
      </c>
      <c r="C53" s="8">
        <v>43388</v>
      </c>
      <c r="D53">
        <v>8060</v>
      </c>
      <c r="E53">
        <v>108</v>
      </c>
      <c r="F53"/>
      <c r="G53">
        <v>60</v>
      </c>
      <c r="H53">
        <v>1680</v>
      </c>
    </row>
    <row r="54" spans="1:8" x14ac:dyDescent="0.25">
      <c r="A54" s="7" t="s">
        <v>32</v>
      </c>
      <c r="B54">
        <v>45444</v>
      </c>
      <c r="C54" s="8">
        <v>43388</v>
      </c>
      <c r="D54">
        <v>8060</v>
      </c>
      <c r="E54">
        <v>109</v>
      </c>
      <c r="F54"/>
      <c r="G54">
        <v>70</v>
      </c>
      <c r="H54">
        <v>1960</v>
      </c>
    </row>
    <row r="55" spans="1:8" x14ac:dyDescent="0.25">
      <c r="A55" s="7" t="s">
        <v>32</v>
      </c>
      <c r="B55">
        <v>45444</v>
      </c>
      <c r="C55" s="8">
        <v>43388</v>
      </c>
      <c r="D55">
        <v>8060</v>
      </c>
      <c r="E55">
        <v>110</v>
      </c>
      <c r="F55"/>
      <c r="G55">
        <v>60</v>
      </c>
      <c r="H55">
        <v>3600</v>
      </c>
    </row>
    <row r="56" spans="1:8" x14ac:dyDescent="0.25">
      <c r="A56" s="7" t="s">
        <v>32</v>
      </c>
      <c r="B56">
        <v>45446</v>
      </c>
      <c r="C56" s="8">
        <v>43388</v>
      </c>
      <c r="D56">
        <v>8050</v>
      </c>
      <c r="E56">
        <v>111</v>
      </c>
      <c r="F56"/>
      <c r="G56">
        <v>80</v>
      </c>
      <c r="H56">
        <v>1600</v>
      </c>
    </row>
    <row r="57" spans="1:8" x14ac:dyDescent="0.25">
      <c r="A57" s="7" t="s">
        <v>32</v>
      </c>
      <c r="B57">
        <v>45446</v>
      </c>
      <c r="C57" s="8">
        <v>43388</v>
      </c>
      <c r="D57">
        <v>8050</v>
      </c>
      <c r="E57">
        <v>108</v>
      </c>
      <c r="F57"/>
      <c r="G57">
        <v>50</v>
      </c>
      <c r="H57">
        <v>1400</v>
      </c>
    </row>
    <row r="58" spans="1:8" x14ac:dyDescent="0.25">
      <c r="A58" s="7" t="s">
        <v>32</v>
      </c>
      <c r="B58">
        <v>44015</v>
      </c>
      <c r="C58" s="8">
        <v>43383</v>
      </c>
      <c r="D58">
        <v>8060</v>
      </c>
      <c r="E58">
        <v>108</v>
      </c>
      <c r="F58"/>
      <c r="G58">
        <v>60</v>
      </c>
      <c r="H58">
        <v>1680</v>
      </c>
    </row>
    <row r="59" spans="1:8" x14ac:dyDescent="0.25">
      <c r="A59" s="7" t="s">
        <v>32</v>
      </c>
      <c r="B59">
        <v>44015</v>
      </c>
      <c r="C59" s="8">
        <v>43383</v>
      </c>
      <c r="D59">
        <v>8060</v>
      </c>
      <c r="E59">
        <v>109</v>
      </c>
      <c r="F59"/>
      <c r="G59">
        <v>70</v>
      </c>
      <c r="H59">
        <v>1960</v>
      </c>
    </row>
    <row r="60" spans="1:8" x14ac:dyDescent="0.25">
      <c r="A60" s="7" t="s">
        <v>32</v>
      </c>
      <c r="B60">
        <v>44017</v>
      </c>
      <c r="C60" s="8">
        <v>43386</v>
      </c>
      <c r="D60">
        <v>8060</v>
      </c>
      <c r="E60">
        <v>108</v>
      </c>
      <c r="F60"/>
      <c r="G60">
        <v>70</v>
      </c>
      <c r="H60">
        <v>1960</v>
      </c>
    </row>
    <row r="61" spans="1:8" x14ac:dyDescent="0.25">
      <c r="A61" s="7" t="s">
        <v>32</v>
      </c>
      <c r="B61">
        <v>44017</v>
      </c>
      <c r="C61" s="8">
        <v>43386</v>
      </c>
      <c r="D61">
        <v>8060</v>
      </c>
      <c r="E61">
        <v>109</v>
      </c>
      <c r="F61"/>
      <c r="G61">
        <v>70</v>
      </c>
      <c r="H61">
        <v>1960</v>
      </c>
    </row>
    <row r="62" spans="1:8" x14ac:dyDescent="0.25">
      <c r="A62" s="7" t="s">
        <v>32</v>
      </c>
      <c r="B62">
        <v>44016</v>
      </c>
      <c r="C62" s="8">
        <v>43387</v>
      </c>
      <c r="D62">
        <v>8050</v>
      </c>
      <c r="E62">
        <v>108</v>
      </c>
      <c r="F62"/>
      <c r="G62">
        <v>70</v>
      </c>
      <c r="H62">
        <v>1960</v>
      </c>
    </row>
    <row r="63" spans="1:8" x14ac:dyDescent="0.25">
      <c r="A63" s="7" t="s">
        <v>32</v>
      </c>
      <c r="B63">
        <v>44016</v>
      </c>
      <c r="C63" s="8">
        <v>43387</v>
      </c>
      <c r="D63">
        <v>8050</v>
      </c>
      <c r="E63">
        <v>109</v>
      </c>
      <c r="F63">
        <v>1</v>
      </c>
      <c r="G63">
        <v>60</v>
      </c>
      <c r="H63">
        <v>1680</v>
      </c>
    </row>
    <row r="64" spans="1:8" x14ac:dyDescent="0.25">
      <c r="A64" s="7" t="s">
        <v>32</v>
      </c>
      <c r="B64">
        <v>44016</v>
      </c>
      <c r="C64" s="8">
        <v>43387</v>
      </c>
      <c r="D64">
        <v>8050</v>
      </c>
      <c r="E64">
        <v>110</v>
      </c>
      <c r="F64"/>
      <c r="G64">
        <v>50</v>
      </c>
      <c r="H64">
        <v>3000</v>
      </c>
    </row>
    <row r="65" spans="1:8" x14ac:dyDescent="0.25">
      <c r="A65" s="7" t="s">
        <v>32</v>
      </c>
      <c r="B65">
        <v>48097</v>
      </c>
      <c r="C65" s="8">
        <v>43390</v>
      </c>
      <c r="D65">
        <v>8060</v>
      </c>
      <c r="E65">
        <v>109</v>
      </c>
      <c r="F65"/>
      <c r="G65">
        <v>60</v>
      </c>
      <c r="H65">
        <v>1680</v>
      </c>
    </row>
    <row r="66" spans="1:8" x14ac:dyDescent="0.25">
      <c r="A66" s="7" t="s">
        <v>32</v>
      </c>
      <c r="B66">
        <v>48097</v>
      </c>
      <c r="C66" s="8">
        <v>43390</v>
      </c>
      <c r="D66">
        <v>8060</v>
      </c>
      <c r="E66">
        <v>110</v>
      </c>
      <c r="F66"/>
      <c r="G66">
        <v>70</v>
      </c>
      <c r="H66">
        <v>4200</v>
      </c>
    </row>
    <row r="67" spans="1:8" x14ac:dyDescent="0.25">
      <c r="A67" s="7" t="s">
        <v>32</v>
      </c>
      <c r="B67">
        <v>48099</v>
      </c>
      <c r="C67" s="8">
        <v>43390</v>
      </c>
      <c r="D67">
        <v>8050</v>
      </c>
      <c r="E67">
        <v>109</v>
      </c>
      <c r="F67">
        <v>1</v>
      </c>
      <c r="G67">
        <v>60</v>
      </c>
      <c r="H67">
        <v>1680</v>
      </c>
    </row>
    <row r="68" spans="1:8" x14ac:dyDescent="0.25">
      <c r="A68" s="7" t="s">
        <v>32</v>
      </c>
      <c r="B68">
        <v>48099</v>
      </c>
      <c r="C68" s="8">
        <v>43390</v>
      </c>
      <c r="D68">
        <v>8050</v>
      </c>
      <c r="E68">
        <v>110</v>
      </c>
      <c r="F68"/>
      <c r="G68">
        <v>60</v>
      </c>
      <c r="H68">
        <v>3600</v>
      </c>
    </row>
    <row r="69" spans="1:8" x14ac:dyDescent="0.25">
      <c r="A69" s="7" t="s">
        <v>32</v>
      </c>
      <c r="B69">
        <v>48099</v>
      </c>
      <c r="C69" s="8">
        <v>43390</v>
      </c>
      <c r="D69">
        <v>8050</v>
      </c>
      <c r="E69">
        <v>111</v>
      </c>
      <c r="F69"/>
      <c r="G69">
        <v>60</v>
      </c>
      <c r="H69">
        <v>1200</v>
      </c>
    </row>
    <row r="70" spans="1:8" x14ac:dyDescent="0.25">
      <c r="A70" s="7" t="s">
        <v>32</v>
      </c>
      <c r="B70">
        <v>48101</v>
      </c>
      <c r="C70" s="8">
        <v>43390</v>
      </c>
      <c r="D70">
        <v>8060</v>
      </c>
      <c r="E70">
        <v>109</v>
      </c>
      <c r="F70"/>
      <c r="G70">
        <v>60</v>
      </c>
      <c r="H70">
        <v>1680</v>
      </c>
    </row>
    <row r="71" spans="1:8" x14ac:dyDescent="0.25">
      <c r="A71" s="7" t="s">
        <v>32</v>
      </c>
      <c r="B71">
        <v>48101</v>
      </c>
      <c r="C71" s="8">
        <v>43390</v>
      </c>
      <c r="D71">
        <v>8060</v>
      </c>
      <c r="E71">
        <v>110</v>
      </c>
      <c r="F71"/>
      <c r="G71">
        <v>50</v>
      </c>
      <c r="H71">
        <v>3000</v>
      </c>
    </row>
    <row r="72" spans="1:8" x14ac:dyDescent="0.25">
      <c r="A72" s="7" t="s">
        <v>32</v>
      </c>
      <c r="B72">
        <v>45427</v>
      </c>
      <c r="C72" s="8">
        <v>43394</v>
      </c>
      <c r="D72">
        <v>8050</v>
      </c>
      <c r="E72">
        <v>108</v>
      </c>
      <c r="F72"/>
      <c r="G72">
        <v>70</v>
      </c>
      <c r="H72">
        <v>1960</v>
      </c>
    </row>
    <row r="73" spans="1:8" x14ac:dyDescent="0.25">
      <c r="A73" s="7" t="s">
        <v>32</v>
      </c>
      <c r="B73">
        <v>45427</v>
      </c>
      <c r="C73" s="8">
        <v>43394</v>
      </c>
      <c r="D73">
        <v>8050</v>
      </c>
      <c r="E73">
        <v>109</v>
      </c>
      <c r="F73"/>
      <c r="G73">
        <v>60</v>
      </c>
      <c r="H73">
        <v>1680</v>
      </c>
    </row>
    <row r="74" spans="1:8" x14ac:dyDescent="0.25">
      <c r="A74" s="7" t="s">
        <v>32</v>
      </c>
      <c r="B74">
        <v>45429</v>
      </c>
      <c r="C74" s="8">
        <v>43394</v>
      </c>
      <c r="D74">
        <v>8060</v>
      </c>
      <c r="E74">
        <v>108</v>
      </c>
      <c r="F74"/>
      <c r="G74">
        <v>80</v>
      </c>
      <c r="H74">
        <v>2240</v>
      </c>
    </row>
    <row r="75" spans="1:8" x14ac:dyDescent="0.25">
      <c r="A75" s="7" t="s">
        <v>32</v>
      </c>
      <c r="B75">
        <v>45429</v>
      </c>
      <c r="C75" s="8">
        <v>43394</v>
      </c>
      <c r="D75">
        <v>8060</v>
      </c>
      <c r="E75">
        <v>109</v>
      </c>
      <c r="F75">
        <v>2</v>
      </c>
      <c r="G75">
        <v>80</v>
      </c>
      <c r="H75">
        <v>2240</v>
      </c>
    </row>
    <row r="76" spans="1:8" x14ac:dyDescent="0.25">
      <c r="A76" s="7" t="s">
        <v>32</v>
      </c>
      <c r="B76">
        <v>45429</v>
      </c>
      <c r="C76" s="8">
        <v>43394</v>
      </c>
      <c r="D76">
        <v>8060</v>
      </c>
      <c r="E76">
        <v>110</v>
      </c>
      <c r="F76"/>
      <c r="G76">
        <v>50</v>
      </c>
      <c r="H76">
        <v>3000</v>
      </c>
    </row>
    <row r="77" spans="1:8" x14ac:dyDescent="0.25">
      <c r="A77" s="7" t="s">
        <v>32</v>
      </c>
      <c r="B77">
        <v>45431</v>
      </c>
      <c r="C77" s="8">
        <v>43394</v>
      </c>
      <c r="D77">
        <v>8050</v>
      </c>
      <c r="E77">
        <v>111</v>
      </c>
      <c r="F77"/>
      <c r="G77">
        <v>60</v>
      </c>
      <c r="H77">
        <v>1200</v>
      </c>
    </row>
    <row r="78" spans="1:8" x14ac:dyDescent="0.25">
      <c r="A78" s="7" t="s">
        <v>32</v>
      </c>
      <c r="B78">
        <v>45431</v>
      </c>
      <c r="C78" s="8">
        <v>43394</v>
      </c>
      <c r="D78">
        <v>8050</v>
      </c>
      <c r="E78">
        <v>108</v>
      </c>
      <c r="F78"/>
      <c r="G78">
        <v>60</v>
      </c>
      <c r="H78">
        <v>1680</v>
      </c>
    </row>
    <row r="79" spans="1:8" x14ac:dyDescent="0.25">
      <c r="A79" s="7" t="s">
        <v>30</v>
      </c>
      <c r="B79">
        <v>24030</v>
      </c>
      <c r="C79" s="8">
        <v>43375</v>
      </c>
      <c r="D79">
        <v>8020</v>
      </c>
      <c r="E79">
        <v>101</v>
      </c>
      <c r="F79">
        <v>1</v>
      </c>
      <c r="G79">
        <v>130</v>
      </c>
      <c r="H79">
        <v>1560</v>
      </c>
    </row>
    <row r="80" spans="1:8" x14ac:dyDescent="0.25">
      <c r="A80" s="7" t="s">
        <v>30</v>
      </c>
      <c r="B80">
        <v>24030</v>
      </c>
      <c r="C80" s="8">
        <v>43375</v>
      </c>
      <c r="D80">
        <v>8020</v>
      </c>
      <c r="E80">
        <v>102</v>
      </c>
      <c r="F80"/>
      <c r="G80">
        <v>30</v>
      </c>
      <c r="H80">
        <v>360</v>
      </c>
    </row>
    <row r="81" spans="1:8" x14ac:dyDescent="0.25">
      <c r="A81" s="7" t="s">
        <v>30</v>
      </c>
      <c r="B81">
        <v>24030</v>
      </c>
      <c r="C81" s="8">
        <v>43375</v>
      </c>
      <c r="D81">
        <v>8020</v>
      </c>
      <c r="E81">
        <v>106</v>
      </c>
      <c r="F81" t="s">
        <v>2</v>
      </c>
      <c r="G81">
        <v>60</v>
      </c>
      <c r="H81">
        <v>300</v>
      </c>
    </row>
    <row r="82" spans="1:8" x14ac:dyDescent="0.25">
      <c r="A82" s="7" t="s">
        <v>30</v>
      </c>
      <c r="B82">
        <v>24030</v>
      </c>
      <c r="C82" s="8">
        <v>43375</v>
      </c>
      <c r="D82">
        <v>8020</v>
      </c>
      <c r="E82">
        <v>108</v>
      </c>
      <c r="F82"/>
      <c r="G82">
        <v>80</v>
      </c>
      <c r="H82">
        <v>2240</v>
      </c>
    </row>
    <row r="83" spans="1:8" x14ac:dyDescent="0.25">
      <c r="A83" s="7" t="s">
        <v>30</v>
      </c>
      <c r="B83">
        <v>24031</v>
      </c>
      <c r="C83" s="8">
        <v>43381</v>
      </c>
      <c r="D83">
        <v>8020</v>
      </c>
      <c r="E83">
        <v>101</v>
      </c>
      <c r="F83" t="s">
        <v>2</v>
      </c>
      <c r="G83">
        <v>100</v>
      </c>
      <c r="H83">
        <v>1200</v>
      </c>
    </row>
    <row r="84" spans="1:8" x14ac:dyDescent="0.25">
      <c r="A84" s="7" t="s">
        <v>30</v>
      </c>
      <c r="B84">
        <v>24031</v>
      </c>
      <c r="C84" s="8">
        <v>43381</v>
      </c>
      <c r="D84">
        <v>8020</v>
      </c>
      <c r="E84">
        <v>108</v>
      </c>
      <c r="F84" t="s">
        <v>2</v>
      </c>
      <c r="G84">
        <v>20</v>
      </c>
      <c r="H84">
        <v>560</v>
      </c>
    </row>
    <row r="85" spans="1:8" x14ac:dyDescent="0.25">
      <c r="A85" s="7" t="s">
        <v>30</v>
      </c>
      <c r="B85">
        <v>24031</v>
      </c>
      <c r="C85" s="8">
        <v>43381</v>
      </c>
      <c r="D85">
        <v>8020</v>
      </c>
      <c r="E85">
        <v>113</v>
      </c>
      <c r="F85" t="s">
        <v>2</v>
      </c>
      <c r="G85">
        <v>100</v>
      </c>
      <c r="H85">
        <v>2500</v>
      </c>
    </row>
    <row r="86" spans="1:8" x14ac:dyDescent="0.25">
      <c r="A86" s="7" t="s">
        <v>30</v>
      </c>
      <c r="B86">
        <v>28112</v>
      </c>
      <c r="C86" s="8">
        <v>43385</v>
      </c>
      <c r="D86">
        <v>8020</v>
      </c>
      <c r="E86">
        <v>114</v>
      </c>
      <c r="F86">
        <v>1</v>
      </c>
      <c r="G86">
        <v>50</v>
      </c>
      <c r="H86">
        <v>1250</v>
      </c>
    </row>
    <row r="87" spans="1:8" x14ac:dyDescent="0.25">
      <c r="A87" s="7" t="s">
        <v>30</v>
      </c>
      <c r="B87">
        <v>28112</v>
      </c>
      <c r="C87" s="8">
        <v>43385</v>
      </c>
      <c r="D87">
        <v>8020</v>
      </c>
      <c r="E87">
        <v>101</v>
      </c>
      <c r="F87" t="s">
        <v>2</v>
      </c>
      <c r="G87">
        <v>40</v>
      </c>
      <c r="H87">
        <v>480</v>
      </c>
    </row>
    <row r="88" spans="1:8" x14ac:dyDescent="0.25">
      <c r="A88" s="7" t="s">
        <v>30</v>
      </c>
      <c r="B88">
        <v>28112</v>
      </c>
      <c r="C88" s="8">
        <v>43385</v>
      </c>
      <c r="D88">
        <v>8020</v>
      </c>
      <c r="E88">
        <v>102</v>
      </c>
      <c r="F88"/>
      <c r="G88">
        <v>70</v>
      </c>
      <c r="H88">
        <v>840</v>
      </c>
    </row>
    <row r="89" spans="1:8" x14ac:dyDescent="0.25">
      <c r="A89" s="7" t="s">
        <v>30</v>
      </c>
      <c r="B89">
        <v>28112</v>
      </c>
      <c r="C89" s="8">
        <v>43385</v>
      </c>
      <c r="D89">
        <v>8020</v>
      </c>
      <c r="E89">
        <v>106</v>
      </c>
      <c r="F89"/>
      <c r="G89">
        <v>70</v>
      </c>
      <c r="H89">
        <v>350</v>
      </c>
    </row>
    <row r="90" spans="1:8" x14ac:dyDescent="0.25">
      <c r="A90" s="7" t="s">
        <v>30</v>
      </c>
      <c r="B90">
        <v>28112</v>
      </c>
      <c r="C90" s="8">
        <v>43385</v>
      </c>
      <c r="D90">
        <v>8020</v>
      </c>
      <c r="E90">
        <v>108</v>
      </c>
      <c r="F90"/>
      <c r="G90">
        <v>10</v>
      </c>
      <c r="H90">
        <v>280</v>
      </c>
    </row>
    <row r="91" spans="1:8" x14ac:dyDescent="0.25">
      <c r="A91" s="7" t="s">
        <v>30</v>
      </c>
      <c r="B91">
        <v>28112</v>
      </c>
      <c r="C91" s="8">
        <v>43385</v>
      </c>
      <c r="D91">
        <v>8020</v>
      </c>
      <c r="E91">
        <v>117</v>
      </c>
      <c r="F91"/>
      <c r="G91">
        <v>80</v>
      </c>
      <c r="H91">
        <v>1440</v>
      </c>
    </row>
    <row r="92" spans="1:8" x14ac:dyDescent="0.25">
      <c r="A92" s="7" t="s">
        <v>30</v>
      </c>
      <c r="B92">
        <v>28112</v>
      </c>
      <c r="C92" s="8">
        <v>43385</v>
      </c>
      <c r="D92">
        <v>8020</v>
      </c>
      <c r="E92">
        <v>118</v>
      </c>
      <c r="F92"/>
      <c r="G92">
        <v>70</v>
      </c>
      <c r="H92">
        <v>1260</v>
      </c>
    </row>
    <row r="93" spans="1:8" x14ac:dyDescent="0.25">
      <c r="A93" s="7" t="s">
        <v>30</v>
      </c>
      <c r="B93">
        <v>25442</v>
      </c>
      <c r="C93" s="8">
        <v>43389</v>
      </c>
      <c r="D93">
        <v>8010</v>
      </c>
      <c r="E93">
        <v>118</v>
      </c>
      <c r="F93"/>
      <c r="G93">
        <v>70</v>
      </c>
      <c r="H93">
        <v>1260</v>
      </c>
    </row>
    <row r="94" spans="1:8" x14ac:dyDescent="0.25">
      <c r="A94" s="7" t="s">
        <v>30</v>
      </c>
      <c r="B94">
        <v>25442</v>
      </c>
      <c r="C94" s="8">
        <v>43389</v>
      </c>
      <c r="D94">
        <v>8010</v>
      </c>
      <c r="E94">
        <v>117</v>
      </c>
      <c r="F94">
        <v>6</v>
      </c>
      <c r="G94">
        <v>80</v>
      </c>
      <c r="H94">
        <v>1440</v>
      </c>
    </row>
    <row r="95" spans="1:8" x14ac:dyDescent="0.25">
      <c r="A95" s="7" t="s">
        <v>30</v>
      </c>
      <c r="B95">
        <v>25442</v>
      </c>
      <c r="C95" s="8">
        <v>43389</v>
      </c>
      <c r="D95">
        <v>8010</v>
      </c>
      <c r="E95">
        <v>118</v>
      </c>
      <c r="F95"/>
      <c r="G95">
        <v>70</v>
      </c>
      <c r="H95">
        <v>1260</v>
      </c>
    </row>
    <row r="96" spans="1:8" x14ac:dyDescent="0.25">
      <c r="A96" s="7" t="s">
        <v>30</v>
      </c>
      <c r="B96">
        <v>25442</v>
      </c>
      <c r="C96" s="8">
        <v>43389</v>
      </c>
      <c r="D96">
        <v>8010</v>
      </c>
      <c r="E96">
        <v>116</v>
      </c>
      <c r="F96">
        <v>1</v>
      </c>
      <c r="G96">
        <v>60</v>
      </c>
      <c r="H96">
        <v>360</v>
      </c>
    </row>
    <row r="97" spans="1:8" x14ac:dyDescent="0.25">
      <c r="A97" s="7" t="s">
        <v>30</v>
      </c>
      <c r="B97">
        <v>25442</v>
      </c>
      <c r="C97" s="8">
        <v>43389</v>
      </c>
      <c r="D97">
        <v>8010</v>
      </c>
      <c r="E97">
        <v>106</v>
      </c>
      <c r="F97"/>
      <c r="G97">
        <v>20</v>
      </c>
      <c r="H97">
        <v>100</v>
      </c>
    </row>
    <row r="98" spans="1:8" x14ac:dyDescent="0.25">
      <c r="A98" s="7" t="s">
        <v>30</v>
      </c>
      <c r="B98">
        <v>25442</v>
      </c>
      <c r="C98" s="8">
        <v>43389</v>
      </c>
      <c r="D98">
        <v>8010</v>
      </c>
      <c r="E98">
        <v>101</v>
      </c>
      <c r="F98"/>
      <c r="G98">
        <v>40</v>
      </c>
      <c r="H98">
        <v>480</v>
      </c>
    </row>
    <row r="99" spans="1:8" x14ac:dyDescent="0.25">
      <c r="A99" s="7" t="s">
        <v>30</v>
      </c>
      <c r="B99">
        <v>25442</v>
      </c>
      <c r="C99" s="8">
        <v>43389</v>
      </c>
      <c r="D99">
        <v>8010</v>
      </c>
      <c r="E99">
        <v>102</v>
      </c>
      <c r="F99"/>
      <c r="G99">
        <v>10</v>
      </c>
      <c r="H99">
        <v>120</v>
      </c>
    </row>
    <row r="100" spans="1:8" x14ac:dyDescent="0.25">
      <c r="A100" s="7" t="s">
        <v>29</v>
      </c>
      <c r="B100">
        <v>66030</v>
      </c>
      <c r="C100" s="8">
        <v>43377</v>
      </c>
      <c r="D100">
        <v>8010</v>
      </c>
      <c r="E100">
        <v>103</v>
      </c>
      <c r="F100" t="s">
        <v>2</v>
      </c>
      <c r="G100">
        <v>120</v>
      </c>
      <c r="H100">
        <v>1440</v>
      </c>
    </row>
    <row r="101" spans="1:8" x14ac:dyDescent="0.25">
      <c r="A101" s="7" t="s">
        <v>29</v>
      </c>
      <c r="B101">
        <v>66030</v>
      </c>
      <c r="C101" s="8">
        <v>43377</v>
      </c>
      <c r="D101">
        <v>8010</v>
      </c>
      <c r="E101">
        <v>104</v>
      </c>
      <c r="F101"/>
      <c r="G101">
        <v>150</v>
      </c>
      <c r="H101">
        <v>1800</v>
      </c>
    </row>
    <row r="102" spans="1:8" x14ac:dyDescent="0.25">
      <c r="A102" s="7" t="s">
        <v>29</v>
      </c>
      <c r="B102">
        <v>66032</v>
      </c>
      <c r="C102" s="8">
        <v>43380</v>
      </c>
      <c r="D102">
        <v>8010</v>
      </c>
      <c r="E102">
        <v>103</v>
      </c>
      <c r="F102"/>
      <c r="G102">
        <v>170</v>
      </c>
      <c r="H102">
        <v>2040</v>
      </c>
    </row>
    <row r="103" spans="1:8" x14ac:dyDescent="0.25">
      <c r="A103" s="7" t="s">
        <v>29</v>
      </c>
      <c r="B103">
        <v>66032</v>
      </c>
      <c r="C103" s="8">
        <v>43380</v>
      </c>
      <c r="D103">
        <v>8010</v>
      </c>
      <c r="E103">
        <v>104</v>
      </c>
      <c r="F103"/>
      <c r="G103">
        <v>140</v>
      </c>
      <c r="H103">
        <v>1680</v>
      </c>
    </row>
    <row r="104" spans="1:8" x14ac:dyDescent="0.25">
      <c r="A104" s="7" t="s">
        <v>29</v>
      </c>
      <c r="B104">
        <v>66031</v>
      </c>
      <c r="C104" s="8">
        <v>43381</v>
      </c>
      <c r="D104">
        <v>8020</v>
      </c>
      <c r="E104">
        <v>103</v>
      </c>
      <c r="F104">
        <v>1</v>
      </c>
      <c r="G104">
        <v>140</v>
      </c>
      <c r="H104">
        <v>1680</v>
      </c>
    </row>
    <row r="105" spans="1:8" x14ac:dyDescent="0.25">
      <c r="A105" s="7" t="s">
        <v>29</v>
      </c>
      <c r="B105">
        <v>66031</v>
      </c>
      <c r="C105" s="8">
        <v>43381</v>
      </c>
      <c r="D105">
        <v>8020</v>
      </c>
      <c r="E105">
        <v>104</v>
      </c>
      <c r="F105"/>
      <c r="G105">
        <v>150</v>
      </c>
      <c r="H105">
        <v>1800</v>
      </c>
    </row>
    <row r="106" spans="1:8" x14ac:dyDescent="0.25">
      <c r="A106" s="7" t="s">
        <v>29</v>
      </c>
      <c r="B106">
        <v>66031</v>
      </c>
      <c r="C106" s="8">
        <v>43381</v>
      </c>
      <c r="D106">
        <v>8020</v>
      </c>
      <c r="E106">
        <v>105</v>
      </c>
      <c r="F106"/>
      <c r="G106">
        <v>100</v>
      </c>
      <c r="H106">
        <v>1000</v>
      </c>
    </row>
    <row r="107" spans="1:8" x14ac:dyDescent="0.25">
      <c r="A107" s="7" t="s">
        <v>29</v>
      </c>
      <c r="B107">
        <v>68112</v>
      </c>
      <c r="C107" s="8">
        <v>43384</v>
      </c>
      <c r="D107">
        <v>8010</v>
      </c>
      <c r="E107">
        <v>104</v>
      </c>
      <c r="F107">
        <v>4</v>
      </c>
      <c r="G107">
        <v>180</v>
      </c>
      <c r="H107">
        <v>2160</v>
      </c>
    </row>
    <row r="108" spans="1:8" x14ac:dyDescent="0.25">
      <c r="A108" s="7" t="s">
        <v>29</v>
      </c>
      <c r="B108">
        <v>68112</v>
      </c>
      <c r="C108" s="8">
        <v>43384</v>
      </c>
      <c r="D108">
        <v>8010</v>
      </c>
      <c r="E108">
        <v>105</v>
      </c>
      <c r="F108"/>
      <c r="G108">
        <v>120</v>
      </c>
      <c r="H108">
        <v>1200</v>
      </c>
    </row>
    <row r="109" spans="1:8" x14ac:dyDescent="0.25">
      <c r="A109" s="7" t="s">
        <v>29</v>
      </c>
      <c r="B109">
        <v>68116</v>
      </c>
      <c r="C109" s="8">
        <v>43384</v>
      </c>
      <c r="D109">
        <v>8020</v>
      </c>
      <c r="E109">
        <v>104</v>
      </c>
      <c r="F109"/>
      <c r="G109">
        <v>150</v>
      </c>
      <c r="H109">
        <v>1800</v>
      </c>
    </row>
    <row r="110" spans="1:8" x14ac:dyDescent="0.25">
      <c r="A110" s="7" t="s">
        <v>29</v>
      </c>
      <c r="B110">
        <v>68116</v>
      </c>
      <c r="C110" s="8">
        <v>43384</v>
      </c>
      <c r="D110">
        <v>8020</v>
      </c>
      <c r="E110">
        <v>105</v>
      </c>
      <c r="F110"/>
      <c r="G110">
        <v>190</v>
      </c>
      <c r="H110">
        <v>1900</v>
      </c>
    </row>
    <row r="111" spans="1:8" x14ac:dyDescent="0.25">
      <c r="A111" s="7" t="s">
        <v>29</v>
      </c>
      <c r="B111">
        <v>68116</v>
      </c>
      <c r="C111" s="8">
        <v>43384</v>
      </c>
      <c r="D111">
        <v>8020</v>
      </c>
      <c r="E111">
        <v>107</v>
      </c>
      <c r="F111">
        <v>2</v>
      </c>
      <c r="G111">
        <v>160</v>
      </c>
      <c r="H111">
        <v>800</v>
      </c>
    </row>
    <row r="112" spans="1:8" x14ac:dyDescent="0.25">
      <c r="A112" s="7" t="s">
        <v>29</v>
      </c>
      <c r="B112">
        <v>68116</v>
      </c>
      <c r="C112" s="8">
        <v>43384</v>
      </c>
      <c r="D112">
        <v>8010</v>
      </c>
      <c r="E112">
        <v>104</v>
      </c>
      <c r="F112"/>
      <c r="G112">
        <v>160</v>
      </c>
      <c r="H112">
        <v>1920</v>
      </c>
    </row>
    <row r="113" spans="1:8" x14ac:dyDescent="0.25">
      <c r="A113" s="7" t="s">
        <v>29</v>
      </c>
      <c r="B113">
        <v>68116</v>
      </c>
      <c r="C113" s="8">
        <v>43384</v>
      </c>
      <c r="D113">
        <v>8010</v>
      </c>
      <c r="E113">
        <v>105</v>
      </c>
      <c r="F113"/>
      <c r="G113">
        <v>190</v>
      </c>
      <c r="H113">
        <v>1900</v>
      </c>
    </row>
    <row r="114" spans="1:8" x14ac:dyDescent="0.25">
      <c r="A114" s="7" t="s">
        <v>29</v>
      </c>
      <c r="B114">
        <v>65662</v>
      </c>
      <c r="C114" s="8">
        <v>43388</v>
      </c>
      <c r="D114">
        <v>8020</v>
      </c>
      <c r="E114">
        <v>103</v>
      </c>
      <c r="F114"/>
      <c r="G114">
        <v>120</v>
      </c>
      <c r="H114">
        <v>1440</v>
      </c>
    </row>
    <row r="115" spans="1:8" x14ac:dyDescent="0.25">
      <c r="A115" s="7" t="s">
        <v>29</v>
      </c>
      <c r="B115">
        <v>65662</v>
      </c>
      <c r="C115" s="8">
        <v>43388</v>
      </c>
      <c r="D115">
        <v>8020</v>
      </c>
      <c r="E115">
        <v>104</v>
      </c>
      <c r="F115"/>
      <c r="G115">
        <v>110</v>
      </c>
      <c r="H115">
        <v>1320</v>
      </c>
    </row>
    <row r="116" spans="1:8" x14ac:dyDescent="0.25">
      <c r="A116" s="7" t="s">
        <v>29</v>
      </c>
      <c r="B116">
        <v>65666</v>
      </c>
      <c r="C116" s="8">
        <v>43388</v>
      </c>
      <c r="D116">
        <v>8010</v>
      </c>
      <c r="E116">
        <v>103</v>
      </c>
      <c r="F116"/>
      <c r="G116">
        <v>120</v>
      </c>
      <c r="H116">
        <v>1440</v>
      </c>
    </row>
    <row r="117" spans="1:8" x14ac:dyDescent="0.25">
      <c r="A117" s="7" t="s">
        <v>29</v>
      </c>
      <c r="B117">
        <v>65666</v>
      </c>
      <c r="C117" s="8">
        <v>43388</v>
      </c>
      <c r="D117">
        <v>8010</v>
      </c>
      <c r="E117">
        <v>104</v>
      </c>
      <c r="F117"/>
      <c r="G117">
        <v>140</v>
      </c>
      <c r="H117">
        <v>1680</v>
      </c>
    </row>
    <row r="118" spans="1:8" x14ac:dyDescent="0.25">
      <c r="A118" s="7" t="s">
        <v>29</v>
      </c>
      <c r="B118">
        <v>65666</v>
      </c>
      <c r="C118" s="8">
        <v>43388</v>
      </c>
      <c r="D118">
        <v>8010</v>
      </c>
      <c r="E118">
        <v>105</v>
      </c>
      <c r="F118"/>
      <c r="G118">
        <v>160</v>
      </c>
      <c r="H118">
        <v>1600</v>
      </c>
    </row>
    <row r="119" spans="1:8" x14ac:dyDescent="0.25">
      <c r="A119" s="7" t="s">
        <v>29</v>
      </c>
      <c r="B119">
        <v>65666</v>
      </c>
      <c r="C119" s="8">
        <v>43388</v>
      </c>
      <c r="D119">
        <v>8020</v>
      </c>
      <c r="E119">
        <v>107</v>
      </c>
      <c r="F119"/>
      <c r="G119">
        <v>120</v>
      </c>
      <c r="H119">
        <v>600</v>
      </c>
    </row>
    <row r="120" spans="1:8" x14ac:dyDescent="0.25">
      <c r="A120" s="7" t="s">
        <v>29</v>
      </c>
      <c r="B120">
        <v>65666</v>
      </c>
      <c r="C120" s="8">
        <v>43388</v>
      </c>
      <c r="D120">
        <v>8020</v>
      </c>
      <c r="E120">
        <v>103</v>
      </c>
      <c r="F120"/>
      <c r="G120">
        <v>200</v>
      </c>
      <c r="H120">
        <v>2400</v>
      </c>
    </row>
    <row r="121" spans="1:8" x14ac:dyDescent="0.25">
      <c r="A121" s="7" t="s">
        <v>29</v>
      </c>
      <c r="B121">
        <v>66015</v>
      </c>
      <c r="C121" s="8">
        <v>43383</v>
      </c>
      <c r="D121">
        <v>8010</v>
      </c>
      <c r="E121">
        <v>103</v>
      </c>
      <c r="F121"/>
      <c r="G121">
        <v>140</v>
      </c>
      <c r="H121">
        <v>1680</v>
      </c>
    </row>
    <row r="122" spans="1:8" x14ac:dyDescent="0.25">
      <c r="A122" s="7" t="s">
        <v>29</v>
      </c>
      <c r="B122">
        <v>66015</v>
      </c>
      <c r="C122" s="8">
        <v>43383</v>
      </c>
      <c r="D122">
        <v>8010</v>
      </c>
      <c r="E122">
        <v>104</v>
      </c>
      <c r="F122"/>
      <c r="G122">
        <v>140</v>
      </c>
      <c r="H122">
        <v>1680</v>
      </c>
    </row>
    <row r="123" spans="1:8" x14ac:dyDescent="0.25">
      <c r="A123" s="7" t="s">
        <v>29</v>
      </c>
      <c r="B123">
        <v>66017</v>
      </c>
      <c r="C123" s="8">
        <v>43386</v>
      </c>
      <c r="D123">
        <v>8010</v>
      </c>
      <c r="E123">
        <v>103</v>
      </c>
      <c r="F123"/>
      <c r="G123">
        <v>140</v>
      </c>
      <c r="H123">
        <v>1680</v>
      </c>
    </row>
    <row r="124" spans="1:8" x14ac:dyDescent="0.25">
      <c r="A124" s="7" t="s">
        <v>29</v>
      </c>
      <c r="B124">
        <v>66017</v>
      </c>
      <c r="C124" s="8">
        <v>43386</v>
      </c>
      <c r="D124">
        <v>8010</v>
      </c>
      <c r="E124">
        <v>104</v>
      </c>
      <c r="F124"/>
      <c r="G124">
        <v>140</v>
      </c>
      <c r="H124">
        <v>1680</v>
      </c>
    </row>
    <row r="125" spans="1:8" x14ac:dyDescent="0.25">
      <c r="A125" s="7" t="s">
        <v>29</v>
      </c>
      <c r="B125">
        <v>66016</v>
      </c>
      <c r="C125" s="8">
        <v>43387</v>
      </c>
      <c r="D125">
        <v>8020</v>
      </c>
      <c r="E125">
        <v>103</v>
      </c>
      <c r="F125"/>
      <c r="G125">
        <v>120</v>
      </c>
      <c r="H125">
        <v>1440</v>
      </c>
    </row>
    <row r="126" spans="1:8" x14ac:dyDescent="0.25">
      <c r="A126" s="7" t="s">
        <v>29</v>
      </c>
      <c r="B126">
        <v>66016</v>
      </c>
      <c r="C126" s="8">
        <v>43387</v>
      </c>
      <c r="D126">
        <v>8020</v>
      </c>
      <c r="E126">
        <v>104</v>
      </c>
      <c r="F126"/>
      <c r="G126">
        <v>130</v>
      </c>
      <c r="H126">
        <v>1560</v>
      </c>
    </row>
    <row r="127" spans="1:8" x14ac:dyDescent="0.25">
      <c r="A127" s="7" t="s">
        <v>29</v>
      </c>
      <c r="B127">
        <v>66016</v>
      </c>
      <c r="C127" s="8">
        <v>43387</v>
      </c>
      <c r="D127">
        <v>8020</v>
      </c>
      <c r="E127">
        <v>105</v>
      </c>
      <c r="F127"/>
      <c r="G127">
        <v>120</v>
      </c>
      <c r="H127">
        <v>1200</v>
      </c>
    </row>
    <row r="128" spans="1:8" x14ac:dyDescent="0.25">
      <c r="A128" s="7" t="s">
        <v>29</v>
      </c>
      <c r="B128">
        <v>68097</v>
      </c>
      <c r="C128" s="8">
        <v>43390</v>
      </c>
      <c r="D128">
        <v>8010</v>
      </c>
      <c r="E128">
        <v>104</v>
      </c>
      <c r="F128"/>
      <c r="G128">
        <v>140</v>
      </c>
      <c r="H128">
        <v>1680</v>
      </c>
    </row>
    <row r="129" spans="1:8" x14ac:dyDescent="0.25">
      <c r="A129" s="7" t="s">
        <v>29</v>
      </c>
      <c r="B129">
        <v>68097</v>
      </c>
      <c r="C129" s="8">
        <v>43390</v>
      </c>
      <c r="D129">
        <v>8010</v>
      </c>
      <c r="E129">
        <v>105</v>
      </c>
      <c r="F129"/>
      <c r="G129">
        <v>130</v>
      </c>
      <c r="H129">
        <v>1300</v>
      </c>
    </row>
    <row r="130" spans="1:8" x14ac:dyDescent="0.25">
      <c r="A130" s="7" t="s">
        <v>29</v>
      </c>
      <c r="B130">
        <v>68099</v>
      </c>
      <c r="C130" s="8">
        <v>43390</v>
      </c>
      <c r="D130">
        <v>8020</v>
      </c>
      <c r="E130">
        <v>104</v>
      </c>
      <c r="F130"/>
      <c r="G130">
        <v>120</v>
      </c>
      <c r="H130">
        <v>1440</v>
      </c>
    </row>
    <row r="131" spans="1:8" x14ac:dyDescent="0.25">
      <c r="A131" s="7" t="s">
        <v>29</v>
      </c>
      <c r="B131">
        <v>68099</v>
      </c>
      <c r="C131" s="8">
        <v>43390</v>
      </c>
      <c r="D131">
        <v>8020</v>
      </c>
      <c r="E131">
        <v>105</v>
      </c>
      <c r="F131">
        <v>2</v>
      </c>
      <c r="G131">
        <v>140</v>
      </c>
      <c r="H131">
        <v>1400</v>
      </c>
    </row>
    <row r="132" spans="1:8" x14ac:dyDescent="0.25">
      <c r="A132" s="7" t="s">
        <v>29</v>
      </c>
      <c r="B132">
        <v>68099</v>
      </c>
      <c r="C132" s="8">
        <v>43390</v>
      </c>
      <c r="D132">
        <v>8020</v>
      </c>
      <c r="E132">
        <v>107</v>
      </c>
      <c r="F132"/>
      <c r="G132">
        <v>170</v>
      </c>
      <c r="H132">
        <v>850</v>
      </c>
    </row>
    <row r="133" spans="1:8" x14ac:dyDescent="0.25">
      <c r="A133" s="7" t="s">
        <v>29</v>
      </c>
      <c r="B133">
        <v>68101</v>
      </c>
      <c r="C133" s="8">
        <v>43390</v>
      </c>
      <c r="D133">
        <v>8010</v>
      </c>
      <c r="E133">
        <v>104</v>
      </c>
      <c r="F133"/>
      <c r="G133">
        <v>190</v>
      </c>
      <c r="H133">
        <v>2280</v>
      </c>
    </row>
    <row r="134" spans="1:8" x14ac:dyDescent="0.25">
      <c r="A134" s="7" t="s">
        <v>29</v>
      </c>
      <c r="B134">
        <v>68101</v>
      </c>
      <c r="C134" s="8">
        <v>43390</v>
      </c>
      <c r="D134">
        <v>8010</v>
      </c>
      <c r="E134">
        <v>105</v>
      </c>
      <c r="F134"/>
      <c r="G134">
        <v>140</v>
      </c>
      <c r="H134">
        <v>1400</v>
      </c>
    </row>
    <row r="135" spans="1:8" x14ac:dyDescent="0.25">
      <c r="A135" s="7" t="s">
        <v>29</v>
      </c>
      <c r="B135">
        <v>65627</v>
      </c>
      <c r="C135" s="8">
        <v>43394</v>
      </c>
      <c r="D135">
        <v>8020</v>
      </c>
      <c r="E135">
        <v>103</v>
      </c>
      <c r="F135"/>
      <c r="G135">
        <v>140</v>
      </c>
      <c r="H135">
        <v>1680</v>
      </c>
    </row>
    <row r="136" spans="1:8" x14ac:dyDescent="0.25">
      <c r="A136" s="7" t="s">
        <v>29</v>
      </c>
      <c r="B136">
        <v>65627</v>
      </c>
      <c r="C136" s="8">
        <v>43394</v>
      </c>
      <c r="D136">
        <v>8020</v>
      </c>
      <c r="E136">
        <v>104</v>
      </c>
      <c r="F136">
        <v>3</v>
      </c>
      <c r="G136">
        <v>160</v>
      </c>
      <c r="H136">
        <v>1920</v>
      </c>
    </row>
    <row r="137" spans="1:8" x14ac:dyDescent="0.25">
      <c r="A137" s="7" t="s">
        <v>29</v>
      </c>
      <c r="B137">
        <v>65629</v>
      </c>
      <c r="C137" s="8">
        <v>43394</v>
      </c>
      <c r="D137">
        <v>8010</v>
      </c>
      <c r="E137">
        <v>103</v>
      </c>
      <c r="F137"/>
      <c r="G137">
        <v>190</v>
      </c>
      <c r="H137">
        <v>2280</v>
      </c>
    </row>
    <row r="138" spans="1:8" x14ac:dyDescent="0.25">
      <c r="A138" s="7" t="s">
        <v>29</v>
      </c>
      <c r="B138">
        <v>65629</v>
      </c>
      <c r="C138" s="8">
        <v>43394</v>
      </c>
      <c r="D138">
        <v>8010</v>
      </c>
      <c r="E138">
        <v>104</v>
      </c>
      <c r="F138"/>
      <c r="G138">
        <v>130</v>
      </c>
      <c r="H138">
        <v>1560</v>
      </c>
    </row>
    <row r="139" spans="1:8" x14ac:dyDescent="0.25">
      <c r="A139" s="7" t="s">
        <v>29</v>
      </c>
      <c r="B139">
        <v>65629</v>
      </c>
      <c r="C139" s="8">
        <v>43394</v>
      </c>
      <c r="D139">
        <v>8010</v>
      </c>
      <c r="E139">
        <v>105</v>
      </c>
      <c r="F139"/>
      <c r="G139">
        <v>140</v>
      </c>
      <c r="H139">
        <v>1400</v>
      </c>
    </row>
    <row r="140" spans="1:8" x14ac:dyDescent="0.25">
      <c r="A140" s="7" t="s">
        <v>29</v>
      </c>
      <c r="B140">
        <v>65631</v>
      </c>
      <c r="C140" s="8">
        <v>43394</v>
      </c>
      <c r="D140">
        <v>8020</v>
      </c>
      <c r="E140">
        <v>107</v>
      </c>
      <c r="F140"/>
      <c r="G140">
        <v>190</v>
      </c>
      <c r="H140">
        <v>950</v>
      </c>
    </row>
    <row r="141" spans="1:8" x14ac:dyDescent="0.25">
      <c r="A141" s="7" t="s">
        <v>29</v>
      </c>
      <c r="B141">
        <v>65631</v>
      </c>
      <c r="C141" s="8">
        <v>43394</v>
      </c>
      <c r="D141">
        <v>8020</v>
      </c>
      <c r="E141">
        <v>103</v>
      </c>
      <c r="F141"/>
      <c r="G141">
        <v>120</v>
      </c>
      <c r="H141">
        <v>1440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cleardata">
                <anchor moveWithCells="1" sizeWithCells="1">
                  <from>
                    <xdr:col>9</xdr:col>
                    <xdr:colOff>7620</xdr:colOff>
                    <xdr:row>2</xdr:row>
                    <xdr:rowOff>15240</xdr:rowOff>
                  </from>
                  <to>
                    <xdr:col>10</xdr:col>
                    <xdr:colOff>495300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1:I46"/>
  <sheetViews>
    <sheetView zoomScale="85" zoomScaleNormal="85" workbookViewId="0">
      <selection sqref="A1:XFD1048576"/>
    </sheetView>
  </sheetViews>
  <sheetFormatPr defaultColWidth="10" defaultRowHeight="13.2" x14ac:dyDescent="0.25"/>
  <cols>
    <col min="1" max="1" width="11.109375" style="7" customWidth="1"/>
    <col min="2" max="2" width="17.33203125" style="7" customWidth="1"/>
    <col min="3" max="3" width="21" style="44" customWidth="1"/>
    <col min="4" max="5" width="17.21875" style="7" customWidth="1"/>
    <col min="6" max="6" width="10" style="7"/>
    <col min="7" max="8" width="10" style="45"/>
    <col min="9" max="9" width="12" style="45" customWidth="1"/>
    <col min="10" max="16384" width="10" style="7"/>
  </cols>
  <sheetData>
    <row r="1" spans="2:9" customFormat="1" ht="13.8" thickBot="1" x14ac:dyDescent="0.3">
      <c r="C1" s="30"/>
      <c r="G1" s="31"/>
      <c r="H1" s="31"/>
      <c r="I1" s="31"/>
    </row>
    <row r="2" spans="2:9" customFormat="1" ht="15.6" x14ac:dyDescent="0.3">
      <c r="B2" s="32" t="s">
        <v>40</v>
      </c>
      <c r="C2" s="33" t="s">
        <v>29</v>
      </c>
      <c r="G2" s="31"/>
      <c r="H2" s="31"/>
      <c r="I2" s="31"/>
    </row>
    <row r="3" spans="2:9" customFormat="1" ht="15.6" x14ac:dyDescent="0.3">
      <c r="B3" s="32"/>
      <c r="C3" s="30"/>
      <c r="G3" s="31"/>
      <c r="H3" s="31"/>
      <c r="I3" s="31"/>
    </row>
    <row r="4" spans="2:9" customFormat="1" ht="27.6" x14ac:dyDescent="0.25">
      <c r="B4" s="34" t="s">
        <v>3</v>
      </c>
      <c r="C4" s="34" t="s">
        <v>41</v>
      </c>
      <c r="D4" s="35" t="s">
        <v>84</v>
      </c>
      <c r="E4" s="35" t="s">
        <v>55</v>
      </c>
      <c r="F4" s="35" t="s">
        <v>58</v>
      </c>
      <c r="G4" s="36" t="s">
        <v>44</v>
      </c>
      <c r="H4" s="36" t="s">
        <v>42</v>
      </c>
      <c r="I4" s="36" t="s">
        <v>43</v>
      </c>
    </row>
    <row r="5" spans="2:9" x14ac:dyDescent="0.25">
      <c r="B5" s="37">
        <v>66030</v>
      </c>
      <c r="C5" s="38">
        <v>43377</v>
      </c>
      <c r="D5" s="39" t="s">
        <v>85</v>
      </c>
      <c r="E5" s="39">
        <v>8010</v>
      </c>
      <c r="F5" s="39">
        <v>103</v>
      </c>
      <c r="G5" s="40" t="s">
        <v>2</v>
      </c>
      <c r="H5" s="41">
        <v>120</v>
      </c>
      <c r="I5" s="40">
        <v>1440</v>
      </c>
    </row>
    <row r="6" spans="2:9" x14ac:dyDescent="0.25">
      <c r="B6" s="42">
        <v>66030</v>
      </c>
      <c r="C6" s="38">
        <v>43377</v>
      </c>
      <c r="D6" s="39" t="s">
        <v>86</v>
      </c>
      <c r="E6" s="39">
        <v>8010</v>
      </c>
      <c r="F6" s="43">
        <v>104</v>
      </c>
      <c r="G6" s="41"/>
      <c r="H6" s="41">
        <v>150</v>
      </c>
      <c r="I6" s="40">
        <v>1800</v>
      </c>
    </row>
    <row r="7" spans="2:9" x14ac:dyDescent="0.25">
      <c r="B7" s="42">
        <v>66032</v>
      </c>
      <c r="C7" s="38">
        <v>43380</v>
      </c>
      <c r="D7" s="39" t="s">
        <v>87</v>
      </c>
      <c r="E7" s="39">
        <v>8010</v>
      </c>
      <c r="F7" s="39">
        <v>103</v>
      </c>
      <c r="G7" s="41"/>
      <c r="H7" s="41">
        <v>170</v>
      </c>
      <c r="I7" s="40">
        <v>2040</v>
      </c>
    </row>
    <row r="8" spans="2:9" x14ac:dyDescent="0.25">
      <c r="B8" s="42">
        <v>66032</v>
      </c>
      <c r="C8" s="38">
        <v>43380</v>
      </c>
      <c r="D8" s="39" t="s">
        <v>88</v>
      </c>
      <c r="E8" s="39">
        <v>8010</v>
      </c>
      <c r="F8" s="43">
        <v>104</v>
      </c>
      <c r="G8" s="41"/>
      <c r="H8" s="41">
        <v>140</v>
      </c>
      <c r="I8" s="40">
        <v>1680</v>
      </c>
    </row>
    <row r="9" spans="2:9" x14ac:dyDescent="0.25">
      <c r="B9" s="42">
        <v>66031</v>
      </c>
      <c r="C9" s="38">
        <v>43381</v>
      </c>
      <c r="D9" s="39" t="s">
        <v>89</v>
      </c>
      <c r="E9" s="39">
        <v>8020</v>
      </c>
      <c r="F9" s="39">
        <v>103</v>
      </c>
      <c r="G9" s="41">
        <v>1</v>
      </c>
      <c r="H9" s="41">
        <v>140</v>
      </c>
      <c r="I9" s="40">
        <v>1680</v>
      </c>
    </row>
    <row r="10" spans="2:9" x14ac:dyDescent="0.25">
      <c r="B10" s="42">
        <v>66031</v>
      </c>
      <c r="C10" s="38">
        <v>43381</v>
      </c>
      <c r="D10" s="39" t="s">
        <v>90</v>
      </c>
      <c r="E10" s="39">
        <v>8020</v>
      </c>
      <c r="F10" s="43">
        <v>104</v>
      </c>
      <c r="G10" s="41"/>
      <c r="H10" s="41">
        <v>150</v>
      </c>
      <c r="I10" s="40">
        <v>1800</v>
      </c>
    </row>
    <row r="11" spans="2:9" x14ac:dyDescent="0.25">
      <c r="B11" s="42">
        <v>66031</v>
      </c>
      <c r="C11" s="38">
        <v>43381</v>
      </c>
      <c r="D11" s="39" t="s">
        <v>91</v>
      </c>
      <c r="E11" s="39">
        <v>8020</v>
      </c>
      <c r="F11" s="43">
        <v>105</v>
      </c>
      <c r="G11" s="41"/>
      <c r="H11" s="41">
        <v>100</v>
      </c>
      <c r="I11" s="40">
        <v>1000</v>
      </c>
    </row>
    <row r="12" spans="2:9" x14ac:dyDescent="0.25">
      <c r="B12" s="42">
        <v>68112</v>
      </c>
      <c r="C12" s="38">
        <v>43384</v>
      </c>
      <c r="D12" s="39" t="s">
        <v>92</v>
      </c>
      <c r="E12" s="39">
        <v>8010</v>
      </c>
      <c r="F12" s="43">
        <v>104</v>
      </c>
      <c r="G12" s="41">
        <v>4</v>
      </c>
      <c r="H12" s="41">
        <v>180</v>
      </c>
      <c r="I12" s="40">
        <v>2160</v>
      </c>
    </row>
    <row r="13" spans="2:9" x14ac:dyDescent="0.25">
      <c r="B13" s="42">
        <v>68112</v>
      </c>
      <c r="C13" s="38">
        <v>43384</v>
      </c>
      <c r="D13" s="39" t="s">
        <v>87</v>
      </c>
      <c r="E13" s="39">
        <v>8010</v>
      </c>
      <c r="F13" s="43">
        <v>105</v>
      </c>
      <c r="G13" s="41"/>
      <c r="H13" s="41">
        <v>120</v>
      </c>
      <c r="I13" s="40">
        <v>1200</v>
      </c>
    </row>
    <row r="14" spans="2:9" x14ac:dyDescent="0.25">
      <c r="B14" s="42">
        <v>68116</v>
      </c>
      <c r="C14" s="38">
        <v>43384</v>
      </c>
      <c r="D14" s="39" t="s">
        <v>93</v>
      </c>
      <c r="E14" s="39">
        <v>8020</v>
      </c>
      <c r="F14" s="43">
        <v>104</v>
      </c>
      <c r="G14" s="41"/>
      <c r="H14" s="41">
        <v>150</v>
      </c>
      <c r="I14" s="40">
        <v>1800</v>
      </c>
    </row>
    <row r="15" spans="2:9" x14ac:dyDescent="0.25">
      <c r="B15" s="42">
        <v>68116</v>
      </c>
      <c r="C15" s="38">
        <v>43384</v>
      </c>
      <c r="D15" s="39" t="s">
        <v>92</v>
      </c>
      <c r="E15" s="39">
        <v>8020</v>
      </c>
      <c r="F15" s="43">
        <v>105</v>
      </c>
      <c r="G15" s="41"/>
      <c r="H15" s="41">
        <v>190</v>
      </c>
      <c r="I15" s="40">
        <v>1900</v>
      </c>
    </row>
    <row r="16" spans="2:9" x14ac:dyDescent="0.25">
      <c r="B16" s="42">
        <v>68116</v>
      </c>
      <c r="C16" s="38">
        <v>43384</v>
      </c>
      <c r="D16" s="39" t="s">
        <v>89</v>
      </c>
      <c r="E16" s="39">
        <v>8020</v>
      </c>
      <c r="F16" s="43">
        <v>107</v>
      </c>
      <c r="G16" s="41">
        <v>2</v>
      </c>
      <c r="H16" s="41">
        <v>160</v>
      </c>
      <c r="I16" s="40">
        <v>800</v>
      </c>
    </row>
    <row r="17" spans="1:9" x14ac:dyDescent="0.25">
      <c r="B17" s="42">
        <v>68116</v>
      </c>
      <c r="C17" s="38">
        <v>43384</v>
      </c>
      <c r="D17" s="39" t="s">
        <v>89</v>
      </c>
      <c r="E17" s="39">
        <v>8010</v>
      </c>
      <c r="F17" s="43">
        <v>104</v>
      </c>
      <c r="G17" s="41"/>
      <c r="H17" s="41">
        <v>160</v>
      </c>
      <c r="I17" s="40">
        <v>1920</v>
      </c>
    </row>
    <row r="18" spans="1:9" x14ac:dyDescent="0.25">
      <c r="B18" s="42">
        <v>68116</v>
      </c>
      <c r="C18" s="38">
        <v>43384</v>
      </c>
      <c r="D18" s="39" t="s">
        <v>85</v>
      </c>
      <c r="E18" s="39">
        <v>8010</v>
      </c>
      <c r="F18" s="43">
        <v>105</v>
      </c>
      <c r="G18" s="41"/>
      <c r="H18" s="41">
        <v>190</v>
      </c>
      <c r="I18" s="40">
        <v>1900</v>
      </c>
    </row>
    <row r="19" spans="1:9" x14ac:dyDescent="0.25">
      <c r="B19" s="42">
        <v>65662</v>
      </c>
      <c r="C19" s="38">
        <v>43388</v>
      </c>
      <c r="D19" s="39" t="s">
        <v>88</v>
      </c>
      <c r="E19" s="39">
        <v>8020</v>
      </c>
      <c r="F19" s="43">
        <v>103</v>
      </c>
      <c r="G19" s="41"/>
      <c r="H19" s="41">
        <v>120</v>
      </c>
      <c r="I19" s="40">
        <v>1440</v>
      </c>
    </row>
    <row r="20" spans="1:9" x14ac:dyDescent="0.25">
      <c r="B20" s="42">
        <v>65662</v>
      </c>
      <c r="C20" s="38">
        <v>43388</v>
      </c>
      <c r="D20" s="39" t="s">
        <v>91</v>
      </c>
      <c r="E20" s="39">
        <v>8020</v>
      </c>
      <c r="F20" s="43">
        <v>104</v>
      </c>
      <c r="G20" s="41"/>
      <c r="H20" s="41">
        <v>110</v>
      </c>
      <c r="I20" s="40">
        <v>1320</v>
      </c>
    </row>
    <row r="21" spans="1:9" x14ac:dyDescent="0.25">
      <c r="B21" s="42">
        <v>65666</v>
      </c>
      <c r="C21" s="38">
        <v>43388</v>
      </c>
      <c r="D21" s="39" t="s">
        <v>88</v>
      </c>
      <c r="E21" s="39">
        <v>8010</v>
      </c>
      <c r="F21" s="43">
        <v>103</v>
      </c>
      <c r="G21" s="41"/>
      <c r="H21" s="41">
        <v>120</v>
      </c>
      <c r="I21" s="40">
        <v>1440</v>
      </c>
    </row>
    <row r="22" spans="1:9" x14ac:dyDescent="0.25">
      <c r="B22" s="42">
        <v>65666</v>
      </c>
      <c r="C22" s="38">
        <v>43388</v>
      </c>
      <c r="D22" s="39" t="s">
        <v>87</v>
      </c>
      <c r="E22" s="39">
        <v>8010</v>
      </c>
      <c r="F22" s="43">
        <v>104</v>
      </c>
      <c r="G22" s="41"/>
      <c r="H22" s="41">
        <v>140</v>
      </c>
      <c r="I22" s="40">
        <v>1680</v>
      </c>
    </row>
    <row r="23" spans="1:9" x14ac:dyDescent="0.25">
      <c r="B23" s="42">
        <v>65666</v>
      </c>
      <c r="C23" s="38">
        <v>43388</v>
      </c>
      <c r="D23" s="39" t="s">
        <v>86</v>
      </c>
      <c r="E23" s="39">
        <v>8010</v>
      </c>
      <c r="F23" s="43">
        <v>105</v>
      </c>
      <c r="G23" s="41"/>
      <c r="H23" s="41">
        <v>160</v>
      </c>
      <c r="I23" s="40">
        <v>1600</v>
      </c>
    </row>
    <row r="24" spans="1:9" x14ac:dyDescent="0.25">
      <c r="B24" s="42">
        <v>65666</v>
      </c>
      <c r="C24" s="38">
        <v>43388</v>
      </c>
      <c r="D24" s="39" t="s">
        <v>93</v>
      </c>
      <c r="E24" s="39">
        <v>8020</v>
      </c>
      <c r="F24" s="43">
        <v>107</v>
      </c>
      <c r="G24" s="41"/>
      <c r="H24" s="41">
        <v>120</v>
      </c>
      <c r="I24" s="40">
        <v>600</v>
      </c>
    </row>
    <row r="25" spans="1:9" x14ac:dyDescent="0.25">
      <c r="B25" s="42">
        <v>65666</v>
      </c>
      <c r="C25" s="38">
        <v>43388</v>
      </c>
      <c r="D25" s="39" t="s">
        <v>88</v>
      </c>
      <c r="E25" s="39">
        <v>8020</v>
      </c>
      <c r="F25" s="43">
        <v>103</v>
      </c>
      <c r="G25" s="41"/>
      <c r="H25" s="41">
        <v>200</v>
      </c>
      <c r="I25" s="40">
        <v>2400</v>
      </c>
    </row>
    <row r="26" spans="1:9" x14ac:dyDescent="0.25">
      <c r="A26" s="46"/>
      <c r="B26" s="37">
        <v>66015</v>
      </c>
      <c r="C26" s="38">
        <v>43383</v>
      </c>
      <c r="D26" s="39" t="s">
        <v>92</v>
      </c>
      <c r="E26" s="39">
        <v>8010</v>
      </c>
      <c r="F26" s="39">
        <v>103</v>
      </c>
      <c r="G26" s="41"/>
      <c r="H26" s="41">
        <v>140</v>
      </c>
      <c r="I26" s="40">
        <v>1680</v>
      </c>
    </row>
    <row r="27" spans="1:9" x14ac:dyDescent="0.25">
      <c r="A27" s="46"/>
      <c r="B27" s="42">
        <v>66015</v>
      </c>
      <c r="C27" s="38">
        <v>43383</v>
      </c>
      <c r="D27" s="39" t="s">
        <v>85</v>
      </c>
      <c r="E27" s="39">
        <v>8010</v>
      </c>
      <c r="F27" s="43">
        <v>104</v>
      </c>
      <c r="G27" s="41"/>
      <c r="H27" s="41">
        <v>140</v>
      </c>
      <c r="I27" s="40">
        <v>1680</v>
      </c>
    </row>
    <row r="28" spans="1:9" x14ac:dyDescent="0.25">
      <c r="A28" s="46"/>
      <c r="B28" s="42">
        <v>66017</v>
      </c>
      <c r="C28" s="38">
        <v>43386</v>
      </c>
      <c r="D28" s="39" t="s">
        <v>85</v>
      </c>
      <c r="E28" s="39">
        <v>8010</v>
      </c>
      <c r="F28" s="39">
        <v>103</v>
      </c>
      <c r="G28" s="41"/>
      <c r="H28" s="41">
        <v>140</v>
      </c>
      <c r="I28" s="40">
        <v>1680</v>
      </c>
    </row>
    <row r="29" spans="1:9" x14ac:dyDescent="0.25">
      <c r="A29" s="46"/>
      <c r="B29" s="42">
        <v>66017</v>
      </c>
      <c r="C29" s="38">
        <v>43386</v>
      </c>
      <c r="D29" s="39" t="s">
        <v>92</v>
      </c>
      <c r="E29" s="39">
        <v>8010</v>
      </c>
      <c r="F29" s="43">
        <v>104</v>
      </c>
      <c r="G29" s="41"/>
      <c r="H29" s="41">
        <v>140</v>
      </c>
      <c r="I29" s="40">
        <v>1680</v>
      </c>
    </row>
    <row r="30" spans="1:9" x14ac:dyDescent="0.25">
      <c r="A30" s="46"/>
      <c r="B30" s="42">
        <v>66016</v>
      </c>
      <c r="C30" s="38">
        <v>43387</v>
      </c>
      <c r="D30" s="39" t="s">
        <v>94</v>
      </c>
      <c r="E30" s="39">
        <v>8020</v>
      </c>
      <c r="F30" s="39">
        <v>103</v>
      </c>
      <c r="G30" s="41"/>
      <c r="H30" s="41">
        <v>120</v>
      </c>
      <c r="I30" s="40">
        <v>1440</v>
      </c>
    </row>
    <row r="31" spans="1:9" x14ac:dyDescent="0.25">
      <c r="A31" s="46"/>
      <c r="B31" s="42">
        <v>66016</v>
      </c>
      <c r="C31" s="38">
        <v>43387</v>
      </c>
      <c r="D31" s="39" t="s">
        <v>94</v>
      </c>
      <c r="E31" s="39">
        <v>8020</v>
      </c>
      <c r="F31" s="43">
        <v>104</v>
      </c>
      <c r="G31" s="41"/>
      <c r="H31" s="41">
        <v>130</v>
      </c>
      <c r="I31" s="40">
        <v>1560</v>
      </c>
    </row>
    <row r="32" spans="1:9" x14ac:dyDescent="0.25">
      <c r="A32" s="46"/>
      <c r="B32" s="42">
        <v>66016</v>
      </c>
      <c r="C32" s="38">
        <v>43387</v>
      </c>
      <c r="D32" s="39" t="s">
        <v>89</v>
      </c>
      <c r="E32" s="39">
        <v>8020</v>
      </c>
      <c r="F32" s="43">
        <v>105</v>
      </c>
      <c r="G32" s="41"/>
      <c r="H32" s="41">
        <v>120</v>
      </c>
      <c r="I32" s="40">
        <v>1200</v>
      </c>
    </row>
    <row r="33" spans="1:9" x14ac:dyDescent="0.25">
      <c r="A33" s="46"/>
      <c r="B33" s="42">
        <v>68097</v>
      </c>
      <c r="C33" s="38">
        <v>43390</v>
      </c>
      <c r="D33" s="39" t="s">
        <v>91</v>
      </c>
      <c r="E33" s="39">
        <v>8010</v>
      </c>
      <c r="F33" s="43">
        <v>104</v>
      </c>
      <c r="G33" s="41"/>
      <c r="H33" s="41">
        <v>140</v>
      </c>
      <c r="I33" s="40">
        <v>1680</v>
      </c>
    </row>
    <row r="34" spans="1:9" x14ac:dyDescent="0.25">
      <c r="A34" s="46"/>
      <c r="B34" s="42">
        <v>68097</v>
      </c>
      <c r="C34" s="38">
        <v>43390</v>
      </c>
      <c r="D34" s="39" t="s">
        <v>89</v>
      </c>
      <c r="E34" s="39">
        <v>8010</v>
      </c>
      <c r="F34" s="43">
        <v>105</v>
      </c>
      <c r="G34" s="41"/>
      <c r="H34" s="41">
        <v>130</v>
      </c>
      <c r="I34" s="40">
        <v>1300</v>
      </c>
    </row>
    <row r="35" spans="1:9" x14ac:dyDescent="0.25">
      <c r="A35" s="46"/>
      <c r="B35" s="42">
        <v>68099</v>
      </c>
      <c r="C35" s="38">
        <v>43390</v>
      </c>
      <c r="D35" s="39" t="s">
        <v>88</v>
      </c>
      <c r="E35" s="39">
        <v>8020</v>
      </c>
      <c r="F35" s="43">
        <v>104</v>
      </c>
      <c r="G35" s="41"/>
      <c r="H35" s="41">
        <v>120</v>
      </c>
      <c r="I35" s="40">
        <v>1440</v>
      </c>
    </row>
    <row r="36" spans="1:9" x14ac:dyDescent="0.25">
      <c r="A36" s="46"/>
      <c r="B36" s="42">
        <v>68099</v>
      </c>
      <c r="C36" s="38">
        <v>43390</v>
      </c>
      <c r="D36" s="39" t="s">
        <v>89</v>
      </c>
      <c r="E36" s="39">
        <v>8020</v>
      </c>
      <c r="F36" s="43">
        <v>105</v>
      </c>
      <c r="G36" s="41">
        <v>2</v>
      </c>
      <c r="H36" s="41">
        <v>140</v>
      </c>
      <c r="I36" s="40">
        <v>1400</v>
      </c>
    </row>
    <row r="37" spans="1:9" x14ac:dyDescent="0.25">
      <c r="A37" s="46"/>
      <c r="B37" s="42">
        <v>68099</v>
      </c>
      <c r="C37" s="38">
        <v>43390</v>
      </c>
      <c r="D37" s="39" t="s">
        <v>91</v>
      </c>
      <c r="E37" s="39">
        <v>8020</v>
      </c>
      <c r="F37" s="43">
        <v>107</v>
      </c>
      <c r="G37" s="41"/>
      <c r="H37" s="41">
        <v>170</v>
      </c>
      <c r="I37" s="40">
        <v>850</v>
      </c>
    </row>
    <row r="38" spans="1:9" x14ac:dyDescent="0.25">
      <c r="A38" s="46"/>
      <c r="B38" s="42">
        <v>68101</v>
      </c>
      <c r="C38" s="38">
        <v>43390</v>
      </c>
      <c r="D38" s="39" t="s">
        <v>94</v>
      </c>
      <c r="E38" s="39">
        <v>8010</v>
      </c>
      <c r="F38" s="43">
        <v>104</v>
      </c>
      <c r="G38" s="41"/>
      <c r="H38" s="41">
        <v>190</v>
      </c>
      <c r="I38" s="40">
        <v>2280</v>
      </c>
    </row>
    <row r="39" spans="1:9" x14ac:dyDescent="0.25">
      <c r="A39" s="46"/>
      <c r="B39" s="42">
        <v>68101</v>
      </c>
      <c r="C39" s="38">
        <v>43390</v>
      </c>
      <c r="D39" s="39" t="s">
        <v>95</v>
      </c>
      <c r="E39" s="39">
        <v>8010</v>
      </c>
      <c r="F39" s="43">
        <v>105</v>
      </c>
      <c r="G39" s="41"/>
      <c r="H39" s="41">
        <v>140</v>
      </c>
      <c r="I39" s="40">
        <v>1400</v>
      </c>
    </row>
    <row r="40" spans="1:9" x14ac:dyDescent="0.25">
      <c r="A40" s="46"/>
      <c r="B40" s="42">
        <v>65627</v>
      </c>
      <c r="C40" s="38">
        <v>43394</v>
      </c>
      <c r="D40" s="39" t="s">
        <v>88</v>
      </c>
      <c r="E40" s="39">
        <v>8020</v>
      </c>
      <c r="F40" s="43">
        <v>103</v>
      </c>
      <c r="G40" s="41"/>
      <c r="H40" s="41">
        <v>140</v>
      </c>
      <c r="I40" s="40">
        <v>1680</v>
      </c>
    </row>
    <row r="41" spans="1:9" x14ac:dyDescent="0.25">
      <c r="A41" s="46"/>
      <c r="B41" s="42">
        <v>65627</v>
      </c>
      <c r="C41" s="38">
        <v>43394</v>
      </c>
      <c r="D41" s="39" t="s">
        <v>95</v>
      </c>
      <c r="E41" s="39">
        <v>8020</v>
      </c>
      <c r="F41" s="43">
        <v>104</v>
      </c>
      <c r="G41" s="41">
        <v>3</v>
      </c>
      <c r="H41" s="41">
        <v>160</v>
      </c>
      <c r="I41" s="40">
        <v>1920</v>
      </c>
    </row>
    <row r="42" spans="1:9" x14ac:dyDescent="0.25">
      <c r="A42" s="46"/>
      <c r="B42" s="42">
        <v>65629</v>
      </c>
      <c r="C42" s="38">
        <v>43394</v>
      </c>
      <c r="D42" s="39" t="s">
        <v>89</v>
      </c>
      <c r="E42" s="39">
        <v>8010</v>
      </c>
      <c r="F42" s="43">
        <v>103</v>
      </c>
      <c r="G42" s="41"/>
      <c r="H42" s="41">
        <v>190</v>
      </c>
      <c r="I42" s="40">
        <v>2280</v>
      </c>
    </row>
    <row r="43" spans="1:9" x14ac:dyDescent="0.25">
      <c r="A43" s="46"/>
      <c r="B43" s="42">
        <v>65629</v>
      </c>
      <c r="C43" s="38">
        <v>43394</v>
      </c>
      <c r="D43" s="39" t="s">
        <v>95</v>
      </c>
      <c r="E43" s="39">
        <v>8010</v>
      </c>
      <c r="F43" s="43">
        <v>104</v>
      </c>
      <c r="G43" s="41"/>
      <c r="H43" s="41">
        <v>130</v>
      </c>
      <c r="I43" s="40">
        <v>1560</v>
      </c>
    </row>
    <row r="44" spans="1:9" x14ac:dyDescent="0.25">
      <c r="A44" s="46"/>
      <c r="B44" s="42">
        <v>65629</v>
      </c>
      <c r="C44" s="38">
        <v>43394</v>
      </c>
      <c r="D44" s="39" t="s">
        <v>91</v>
      </c>
      <c r="E44" s="39">
        <v>8010</v>
      </c>
      <c r="F44" s="43">
        <v>105</v>
      </c>
      <c r="G44" s="41"/>
      <c r="H44" s="41">
        <v>140</v>
      </c>
      <c r="I44" s="40">
        <v>1400</v>
      </c>
    </row>
    <row r="45" spans="1:9" x14ac:dyDescent="0.25">
      <c r="A45" s="46"/>
      <c r="B45" s="42">
        <v>65631</v>
      </c>
      <c r="C45" s="38">
        <v>43394</v>
      </c>
      <c r="D45" s="39" t="s">
        <v>85</v>
      </c>
      <c r="E45" s="39">
        <v>8020</v>
      </c>
      <c r="F45" s="43">
        <v>107</v>
      </c>
      <c r="G45" s="41"/>
      <c r="H45" s="41">
        <v>190</v>
      </c>
      <c r="I45" s="40">
        <v>950</v>
      </c>
    </row>
    <row r="46" spans="1:9" x14ac:dyDescent="0.25">
      <c r="A46" s="46"/>
      <c r="B46" s="42">
        <v>65631</v>
      </c>
      <c r="C46" s="38">
        <v>43394</v>
      </c>
      <c r="D46" s="39" t="s">
        <v>90</v>
      </c>
      <c r="E46" s="39">
        <v>8020</v>
      </c>
      <c r="F46" s="43">
        <v>103</v>
      </c>
      <c r="H46" s="41">
        <v>120</v>
      </c>
      <c r="I46" s="40">
        <v>1440</v>
      </c>
    </row>
  </sheetData>
  <dataValidations disablePrompts="1" count="1">
    <dataValidation type="list" allowBlank="1" showInputMessage="1" showErrorMessage="1" sqref="C2" xr:uid="{A1892D31-D0A8-4972-AA40-B17C1C27E88D}">
      <formula1>"1010US,1020US,1030AT,1040DE"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A9A00BADE22D4A9AAB94BFA4A5F0A3" ma:contentTypeVersion="6" ma:contentTypeDescription="Create a new document." ma:contentTypeScope="" ma:versionID="26d9c4f07b30b4b229b547e534a1689a">
  <xsd:schema xmlns:xsd="http://www.w3.org/2001/XMLSchema" xmlns:xs="http://www.w3.org/2001/XMLSchema" xmlns:p="http://schemas.microsoft.com/office/2006/metadata/properties" xmlns:ns2="30474ed4-4542-426a-8df4-c4932fa86e4e" xmlns:ns3="55367ff7-59a9-4456-a8bb-dc2a08031bfd" targetNamespace="http://schemas.microsoft.com/office/2006/metadata/properties" ma:root="true" ma:fieldsID="547007415bdac1404b79a3353dad6f95" ns2:_="" ns3:_="">
    <xsd:import namespace="30474ed4-4542-426a-8df4-c4932fa86e4e"/>
    <xsd:import namespace="55367ff7-59a9-4456-a8bb-dc2a08031bf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474ed4-4542-426a-8df4-c4932fa86e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367ff7-59a9-4456-a8bb-dc2a08031bf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1C5915-AA8E-4ABA-B049-56A0C5BD4C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474ed4-4542-426a-8df4-c4932fa86e4e"/>
    <ds:schemaRef ds:uri="55367ff7-59a9-4456-a8bb-dc2a08031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24EB6B-9679-4A06-BF7F-56BF3754969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657A294-5A13-444F-8941-4B9F138218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Exercise</vt:lpstr>
      <vt:lpstr>Dashboard</vt:lpstr>
      <vt:lpstr>PivotTable</vt:lpstr>
      <vt:lpstr>Map</vt:lpstr>
      <vt:lpstr>RegionTemp</vt:lpstr>
      <vt:lpstr>Summary</vt:lpstr>
      <vt:lpstr>NewData</vt:lpstr>
      <vt:lpstr>MRegion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Ayesha Sarwar</dc:creator>
  <cp:lastModifiedBy>Kiki Chen</cp:lastModifiedBy>
  <dcterms:created xsi:type="dcterms:W3CDTF">2017-10-02T07:41:32Z</dcterms:created>
  <dcterms:modified xsi:type="dcterms:W3CDTF">2021-10-13T11:43:17Z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0x01010008A9A00BADE22D4A9AAB94BFA4A5F0A3</vt:lpwstr>
  </property>
</Properties>
</file>