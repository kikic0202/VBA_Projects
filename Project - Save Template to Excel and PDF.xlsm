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K:\FSE Training\VBA\Projects\"/>
    </mc:Choice>
  </mc:AlternateContent>
  <xr:revisionPtr revIDLastSave="0" documentId="13_ncr:1_{D5AB5887-DAF6-4454-AB83-2449A7DE92C4}" xr6:coauthVersionLast="47" xr6:coauthVersionMax="47" xr10:uidLastSave="{00000000-0000-0000-0000-000000000000}"/>
  <bookViews>
    <workbookView showHorizontalScroll="0" showVerticalScroll="0" xWindow="-23148" yWindow="-108" windowWidth="23256" windowHeight="13176" activeTab="3" xr2:uid="{00000000-000D-0000-FFFF-FFFF00000000}"/>
  </bookViews>
  <sheets>
    <sheet name="Exercise" sheetId="10" r:id="rId1"/>
    <sheet name="Dashboard" sheetId="12" r:id="rId2"/>
    <sheet name="Data" sheetId="2" r:id="rId3"/>
    <sheet name="Invoice" sheetId="1" r:id="rId4"/>
    <sheet name="Template" sheetId="4" r:id="rId5"/>
  </sheets>
  <definedNames>
    <definedName name="Date_Chart">#REF!:INDEX(#REF!,COUNT(#REF!))</definedName>
    <definedName name="Excel_Folder">#REF!</definedName>
    <definedName name="mycompany">CustomerTable[Company]</definedName>
    <definedName name="mycustomer">CustomerTable[Customer]</definedName>
    <definedName name="PDF_Folder">#REF!</definedName>
    <definedName name="_xlnm.Print_Area" localSheetId="2">CustomerTable[#All]</definedName>
    <definedName name="_xlnm.Print_Area" localSheetId="4">Template!$A$1:$E$35</definedName>
    <definedName name="Value_Chart">#REF!:INDEX(#REF!,COUNT(#REF!))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6" i="4" l="1" a="1"/>
  <c r="D26" i="4" s="1"/>
  <c r="D27" i="4" s="1"/>
  <c r="D25" i="4"/>
  <c r="R25" i="1" l="1"/>
  <c r="T25" i="1" s="1"/>
  <c r="X25" i="1"/>
  <c r="AA25" i="1" l="1"/>
  <c r="U25" i="1" s="1"/>
  <c r="E23" i="4"/>
  <c r="E22" i="4"/>
  <c r="R11" i="1" l="1"/>
  <c r="R28" i="1" l="1"/>
  <c r="R29" i="1"/>
  <c r="T29" i="1" s="1"/>
  <c r="R30" i="1"/>
  <c r="T30" i="1" s="1"/>
  <c r="AA30" i="1" s="1"/>
  <c r="U30" i="1" s="1"/>
  <c r="R31" i="1"/>
  <c r="R32" i="1"/>
  <c r="T32" i="1" s="1"/>
  <c r="AA32" i="1" s="1"/>
  <c r="U32" i="1" s="1"/>
  <c r="R33" i="1"/>
  <c r="T33" i="1" s="1"/>
  <c r="R34" i="1"/>
  <c r="T34" i="1" s="1"/>
  <c r="AA34" i="1" s="1"/>
  <c r="U34" i="1" s="1"/>
  <c r="R35" i="1"/>
  <c r="R36" i="1"/>
  <c r="T36" i="1" s="1"/>
  <c r="AA36" i="1" s="1"/>
  <c r="R37" i="1"/>
  <c r="T37" i="1" s="1"/>
  <c r="AA37" i="1" s="1"/>
  <c r="U37" i="1" s="1"/>
  <c r="R38" i="1"/>
  <c r="T38" i="1" s="1"/>
  <c r="AA38" i="1" s="1"/>
  <c r="U38" i="1" s="1"/>
  <c r="X28" i="1"/>
  <c r="X29" i="1"/>
  <c r="X30" i="1"/>
  <c r="X31" i="1"/>
  <c r="X32" i="1"/>
  <c r="X33" i="1"/>
  <c r="X34" i="1"/>
  <c r="X35" i="1"/>
  <c r="X36" i="1"/>
  <c r="X37" i="1"/>
  <c r="X38" i="1"/>
  <c r="T35" i="1" l="1"/>
  <c r="AA35" i="1" s="1"/>
  <c r="U35" i="1" s="1"/>
  <c r="T28" i="1"/>
  <c r="AA28" i="1" s="1"/>
  <c r="U28" i="1" s="1"/>
  <c r="T31" i="1"/>
  <c r="AA31" i="1" s="1"/>
  <c r="U31" i="1" s="1"/>
  <c r="U36" i="1"/>
  <c r="AA33" i="1"/>
  <c r="U33" i="1" s="1"/>
  <c r="AA29" i="1"/>
  <c r="U29" i="1" s="1"/>
  <c r="X8" i="1" l="1"/>
  <c r="X9" i="1"/>
  <c r="X10" i="1"/>
  <c r="X11" i="1"/>
  <c r="X12" i="1"/>
  <c r="X13" i="1"/>
  <c r="X14" i="1"/>
  <c r="X15" i="1"/>
  <c r="X16" i="1"/>
  <c r="X17" i="1"/>
  <c r="X18" i="1"/>
  <c r="X19" i="1"/>
  <c r="X20" i="1"/>
  <c r="X21" i="1"/>
  <c r="X22" i="1"/>
  <c r="X23" i="1"/>
  <c r="X24" i="1"/>
  <c r="X26" i="1"/>
  <c r="X27" i="1"/>
  <c r="R27" i="1" l="1"/>
  <c r="R26" i="1"/>
  <c r="T27" i="1" l="1"/>
  <c r="T26" i="1"/>
  <c r="AA26" i="1" s="1"/>
  <c r="U26" i="1" s="1"/>
  <c r="AA27" i="1" l="1"/>
  <c r="U27" i="1" s="1"/>
  <c r="R9" i="1"/>
  <c r="T9" i="1" s="1"/>
  <c r="R10" i="1"/>
  <c r="T11" i="1"/>
  <c r="R12" i="1"/>
  <c r="T12" i="1" s="1"/>
  <c r="R13" i="1"/>
  <c r="T13" i="1" s="1"/>
  <c r="AA13" i="1" s="1"/>
  <c r="R14" i="1"/>
  <c r="T14" i="1" s="1"/>
  <c r="R15" i="1"/>
  <c r="T15" i="1" s="1"/>
  <c r="R16" i="1"/>
  <c r="T16" i="1" s="1"/>
  <c r="R17" i="1"/>
  <c r="T17" i="1" s="1"/>
  <c r="R18" i="1"/>
  <c r="T18" i="1" s="1"/>
  <c r="R19" i="1"/>
  <c r="T19" i="1" s="1"/>
  <c r="R20" i="1"/>
  <c r="T20" i="1" s="1"/>
  <c r="R21" i="1"/>
  <c r="T21" i="1" s="1"/>
  <c r="R22" i="1"/>
  <c r="T22" i="1" s="1"/>
  <c r="R23" i="1"/>
  <c r="T23" i="1" s="1"/>
  <c r="R24" i="1"/>
  <c r="T24" i="1" s="1"/>
  <c r="AA15" i="1" l="1"/>
  <c r="U15" i="1" s="1"/>
  <c r="AA11" i="1"/>
  <c r="U11" i="1" s="1"/>
  <c r="AA23" i="1"/>
  <c r="U23" i="1" s="1"/>
  <c r="AA10" i="1"/>
  <c r="U10" i="1" s="1"/>
  <c r="AA20" i="1"/>
  <c r="U20" i="1" s="1"/>
  <c r="AA18" i="1"/>
  <c r="U18" i="1" s="1"/>
  <c r="U13" i="1"/>
  <c r="AA17" i="1"/>
  <c r="U17" i="1" s="1"/>
  <c r="AA16" i="1"/>
  <c r="U16" i="1" s="1"/>
  <c r="AA21" i="1"/>
  <c r="U21" i="1" s="1"/>
  <c r="AA22" i="1"/>
  <c r="U22" i="1" s="1"/>
  <c r="AA14" i="1"/>
  <c r="U14" i="1" s="1"/>
  <c r="AA19" i="1"/>
  <c r="U19" i="1" s="1"/>
  <c r="AA12" i="1"/>
  <c r="U12" i="1" s="1"/>
  <c r="AA24" i="1" l="1"/>
  <c r="U24" i="1" s="1"/>
  <c r="R8" i="1" l="1"/>
  <c r="T8" i="1" l="1"/>
  <c r="AA9" i="1"/>
  <c r="U9" i="1" s="1"/>
  <c r="AA8" i="1" l="1"/>
  <c r="U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<sst xmlns="http://schemas.openxmlformats.org/spreadsheetml/2006/main" count="521" uniqueCount="267">
  <si>
    <t>Customer</t>
  </si>
  <si>
    <t>Invoice number</t>
  </si>
  <si>
    <t>Company</t>
  </si>
  <si>
    <t>UID</t>
  </si>
  <si>
    <t>Additional Expenses</t>
  </si>
  <si>
    <t>Net Amount</t>
  </si>
  <si>
    <t>Address Line 1</t>
  </si>
  <si>
    <t>Address Line 2</t>
  </si>
  <si>
    <t>Address Line 3</t>
  </si>
  <si>
    <t>Blend</t>
  </si>
  <si>
    <t>Voltage</t>
  </si>
  <si>
    <t>Inkly</t>
  </si>
  <si>
    <t>Sleops</t>
  </si>
  <si>
    <t>Kind Ape</t>
  </si>
  <si>
    <t>Pet Feed</t>
  </si>
  <si>
    <t>Silvrr</t>
  </si>
  <si>
    <t>Kryptis</t>
  </si>
  <si>
    <t>Hackrr</t>
  </si>
  <si>
    <t>Pes</t>
  </si>
  <si>
    <t>deRamblr</t>
  </si>
  <si>
    <t>Arcade</t>
  </si>
  <si>
    <t>2120 Eagle Lane</t>
  </si>
  <si>
    <t>Underwood</t>
  </si>
  <si>
    <t>MN 56586</t>
  </si>
  <si>
    <t>2748 Haul Road</t>
  </si>
  <si>
    <t>Eagan</t>
  </si>
  <si>
    <t>MN 55121</t>
  </si>
  <si>
    <t>2529 Paradise Lane</t>
  </si>
  <si>
    <t>CA 91766</t>
  </si>
  <si>
    <t>Pomona</t>
  </si>
  <si>
    <t>1792 Parrish Avenue</t>
  </si>
  <si>
    <t>CA 95054</t>
  </si>
  <si>
    <t>Santa Clara</t>
  </si>
  <si>
    <t>123 Parrish Avenue</t>
  </si>
  <si>
    <t>67 Parrish Avenue</t>
  </si>
  <si>
    <t>523 Confederate Drive</t>
  </si>
  <si>
    <t>Amber</t>
  </si>
  <si>
    <t>NY 13110</t>
  </si>
  <si>
    <t>605 Old Dear Lane</t>
  </si>
  <si>
    <t>NY 10013</t>
  </si>
  <si>
    <t>New York</t>
  </si>
  <si>
    <t>CA 93901</t>
  </si>
  <si>
    <t>Salinas</t>
  </si>
  <si>
    <t>James Willard</t>
  </si>
  <si>
    <t>Richard Elliot</t>
  </si>
  <si>
    <t>Roger Mun</t>
  </si>
  <si>
    <t>Natalie Porter</t>
  </si>
  <si>
    <t>Kim West</t>
  </si>
  <si>
    <t>Stevie Bridge</t>
  </si>
  <si>
    <t>Andre Cooper</t>
  </si>
  <si>
    <t>Crystal Doyle</t>
  </si>
  <si>
    <t>Daniel Garrett</t>
  </si>
  <si>
    <t>Corinna Schmidt</t>
  </si>
  <si>
    <t>Betina Bauer</t>
  </si>
  <si>
    <t>Wiener Strasse 35</t>
  </si>
  <si>
    <t>1300 Vienna</t>
  </si>
  <si>
    <t>Austria</t>
  </si>
  <si>
    <t>Floridusgasse 18</t>
  </si>
  <si>
    <t>2500 Vienna</t>
  </si>
  <si>
    <t>Floridusgasse 16</t>
  </si>
  <si>
    <t>2600 Vienna</t>
  </si>
  <si>
    <t>Brigitte Bond</t>
  </si>
  <si>
    <t>Robert Blume</t>
  </si>
  <si>
    <t>Mike Saban</t>
  </si>
  <si>
    <t>Maria Tot</t>
  </si>
  <si>
    <t>Lukas Hofer</t>
  </si>
  <si>
    <t>Walter Miller</t>
  </si>
  <si>
    <t>Daniela Schreiber</t>
  </si>
  <si>
    <t>Ellmenreichstrasse 5936</t>
  </si>
  <si>
    <t>Germany</t>
  </si>
  <si>
    <t>6520 Ebermannstadt</t>
  </si>
  <si>
    <t>Peter Ramsy</t>
  </si>
  <si>
    <t>Scharnweberstrasse 870</t>
  </si>
  <si>
    <t>4899 Abtsteinach</t>
  </si>
  <si>
    <t>Scharnweberstrasse 80</t>
  </si>
  <si>
    <t>Wolfgang Ramjac</t>
  </si>
  <si>
    <t>Dan Ziegler</t>
  </si>
  <si>
    <t>4372 Salina Street</t>
  </si>
  <si>
    <t>Twistrr Productivity</t>
  </si>
  <si>
    <t>Twistrr Games</t>
  </si>
  <si>
    <t>Twistrr Utility</t>
  </si>
  <si>
    <t>Twistrr Kids</t>
  </si>
  <si>
    <t>Twistrr Clothes</t>
  </si>
  <si>
    <t>Baden Paper</t>
  </si>
  <si>
    <t>Right App Learning</t>
  </si>
  <si>
    <t>Right App Play</t>
  </si>
  <si>
    <t>WenCaL US</t>
  </si>
  <si>
    <t>WenCaL UK</t>
  </si>
  <si>
    <t>12 Guild Street</t>
  </si>
  <si>
    <t>E5 4XU London</t>
  </si>
  <si>
    <t>74 Sutton Wick Lane</t>
  </si>
  <si>
    <t>DE4 9RH London</t>
  </si>
  <si>
    <t>Ewan Thompson</t>
  </si>
  <si>
    <t>59 Copthorne Way</t>
  </si>
  <si>
    <t>CB5 2LZ CAMBRIDGE</t>
  </si>
  <si>
    <t>30 Copthorne Way</t>
  </si>
  <si>
    <t>CB5 0HP CAMBRIDGE</t>
  </si>
  <si>
    <t>VAT</t>
  </si>
  <si>
    <t>United Kingdom</t>
  </si>
  <si>
    <t>Switzerland</t>
  </si>
  <si>
    <t>Ganggasse 142</t>
  </si>
  <si>
    <t>Wolfensbergstrasse 109</t>
  </si>
  <si>
    <t>3656 Ringoldswil</t>
  </si>
  <si>
    <t>DE314550698</t>
  </si>
  <si>
    <t>DE675550698</t>
  </si>
  <si>
    <t>DE314845698</t>
  </si>
  <si>
    <t>DE358950698</t>
  </si>
  <si>
    <t>ATU56751255</t>
  </si>
  <si>
    <t>ATU56472745</t>
  </si>
  <si>
    <t>ATU56752794</t>
  </si>
  <si>
    <t>ATU87452774</t>
  </si>
  <si>
    <t>ATU53642748</t>
  </si>
  <si>
    <t>ATU56755475</t>
  </si>
  <si>
    <t>ATU56745712</t>
  </si>
  <si>
    <t>ATU56751288</t>
  </si>
  <si>
    <t>ATU56755879</t>
  </si>
  <si>
    <t>GB718186591</t>
  </si>
  <si>
    <t>GB919680834</t>
  </si>
  <si>
    <t>GB367365816</t>
  </si>
  <si>
    <t>GB697413887</t>
  </si>
  <si>
    <t>Robert Marquez</t>
  </si>
  <si>
    <t>Robert Spear</t>
  </si>
  <si>
    <t>Robert Richardson</t>
  </si>
  <si>
    <t>Paul Wells</t>
  </si>
  <si>
    <t>Paul Garza</t>
  </si>
  <si>
    <t>Schmidtgasse 87</t>
  </si>
  <si>
    <t>8960 Wien</t>
  </si>
  <si>
    <t>UID: ATU8956324</t>
  </si>
  <si>
    <t>Services</t>
  </si>
  <si>
    <t>Time Period</t>
  </si>
  <si>
    <t>Price in EUR</t>
  </si>
  <si>
    <t>Subtotal</t>
  </si>
  <si>
    <t>Total</t>
  </si>
  <si>
    <t>Bank Info</t>
  </si>
  <si>
    <t>IBAN: 2342456435</t>
  </si>
  <si>
    <t>BIC: GIBARESCXX</t>
  </si>
  <si>
    <t>VAT in %</t>
  </si>
  <si>
    <t>Services Line 1</t>
  </si>
  <si>
    <t>Services Line 2</t>
  </si>
  <si>
    <t>Services Line 3</t>
  </si>
  <si>
    <t>Final Invoiced Amount</t>
  </si>
  <si>
    <t>Invoice Date</t>
  </si>
  <si>
    <t>Agreed Amount Total</t>
  </si>
  <si>
    <t>Due by</t>
  </si>
  <si>
    <t>Paid</t>
  </si>
  <si>
    <t>Date Paid</t>
  </si>
  <si>
    <t>VAT to Pay</t>
  </si>
  <si>
    <t>Status</t>
  </si>
  <si>
    <t>Date Line 1</t>
  </si>
  <si>
    <t>Amount Line 1</t>
  </si>
  <si>
    <t>Date Line 2</t>
  </si>
  <si>
    <t>Amount Line 2</t>
  </si>
  <si>
    <t>Date Line 3</t>
  </si>
  <si>
    <t>Amount Line 3</t>
  </si>
  <si>
    <t>Email</t>
  </si>
  <si>
    <t>Gary Miller</t>
  </si>
  <si>
    <t>James.Willard@Blend.com</t>
  </si>
  <si>
    <t>Richard.Elliot@Voltage.com</t>
  </si>
  <si>
    <t>Robert.Spear@Inkly.com</t>
  </si>
  <si>
    <t>Roger.Mun@Sleops.com</t>
  </si>
  <si>
    <t>Stevie.Bridge@Hackrr.com</t>
  </si>
  <si>
    <t>Crystal.Doyle@Silvrr.com</t>
  </si>
  <si>
    <t>Daniel.Garrett@Rehire.at</t>
  </si>
  <si>
    <t>Corinna.Schmidt@Kryptis.at</t>
  </si>
  <si>
    <t>Paul.Wells@Hackrr.com</t>
  </si>
  <si>
    <t>Betina.Bauer@Pes.at</t>
  </si>
  <si>
    <t>Daniela.Schreiber@Baden .de</t>
  </si>
  <si>
    <t>Dan.Ziegler@Baden .de</t>
  </si>
  <si>
    <t>Peter.Ramsy@deRamblr.de</t>
  </si>
  <si>
    <t>Wolfgang.Ramjac@Arcade.de</t>
  </si>
  <si>
    <t>Lukas.Hofer@Kryptis.com</t>
  </si>
  <si>
    <t>twist</t>
  </si>
  <si>
    <t>Robert</t>
  </si>
  <si>
    <t>Robert Musser</t>
  </si>
  <si>
    <t>Dasring</t>
  </si>
  <si>
    <t>Hauptstrasse 14</t>
  </si>
  <si>
    <t>3587 Salzburg</t>
  </si>
  <si>
    <t>ATU56754789</t>
  </si>
  <si>
    <t>Rehire</t>
  </si>
  <si>
    <t>1250 Salzburg</t>
  </si>
  <si>
    <t>Ann Withers</t>
  </si>
  <si>
    <t>Didactic</t>
  </si>
  <si>
    <t>Strickstrasse 123</t>
  </si>
  <si>
    <t>8098 Zürich</t>
  </si>
  <si>
    <t>Paul Hill</t>
  </si>
  <si>
    <t>Fightrr</t>
  </si>
  <si>
    <t>Brunnacherstrasse 40</t>
  </si>
  <si>
    <t>8036 Zürich</t>
  </si>
  <si>
    <t>Perino</t>
  </si>
  <si>
    <t>Baden Packaging</t>
  </si>
  <si>
    <t/>
  </si>
  <si>
    <t>20/21.01.2016</t>
  </si>
  <si>
    <t>26/27.01.2016</t>
  </si>
  <si>
    <t>26.02.2016</t>
  </si>
  <si>
    <t>12.01.2016 - 13.03.2016</t>
  </si>
  <si>
    <t>6.02.2016-18.03.2016</t>
  </si>
  <si>
    <t>17/18.03.2016</t>
  </si>
  <si>
    <t>23.02.2016</t>
  </si>
  <si>
    <t>15/16.04.2016</t>
  </si>
  <si>
    <t>27/28.04.2016</t>
  </si>
  <si>
    <t>27/28/29.05.2016</t>
  </si>
  <si>
    <t>06/05/2016 + 15/06/2016</t>
  </si>
  <si>
    <t>27.07. - 07.08.2016</t>
  </si>
  <si>
    <t>23/09/2016-25/09/2016</t>
  </si>
  <si>
    <t>20/10/2016 &amp; 22/10/2016</t>
  </si>
  <si>
    <t>12/13.11. &amp; 19/20.11. 2016</t>
  </si>
  <si>
    <t>Service 1</t>
  </si>
  <si>
    <t>Service 2</t>
  </si>
  <si>
    <t>Service 8</t>
  </si>
  <si>
    <t>Service 3</t>
  </si>
  <si>
    <t>Service 4</t>
  </si>
  <si>
    <t>Service 5</t>
  </si>
  <si>
    <t>Service 7</t>
  </si>
  <si>
    <t>Service 9</t>
  </si>
  <si>
    <t>Service 10</t>
  </si>
  <si>
    <t>Service 11</t>
  </si>
  <si>
    <t>Service 12</t>
  </si>
  <si>
    <t>Service 13</t>
  </si>
  <si>
    <t>Service 14</t>
  </si>
  <si>
    <t>Service 15</t>
  </si>
  <si>
    <t>Service 16</t>
  </si>
  <si>
    <t>Service 17</t>
  </si>
  <si>
    <t>Service 18</t>
  </si>
  <si>
    <t>Service 19</t>
  </si>
  <si>
    <t>Service 20</t>
  </si>
  <si>
    <t>IT Services</t>
  </si>
  <si>
    <t>Programming new tool</t>
  </si>
  <si>
    <t>Consulting</t>
  </si>
  <si>
    <t>Andre.Cooper@Perino.co.uk</t>
  </si>
  <si>
    <t>Rmusse@Dasring.com</t>
  </si>
  <si>
    <t>Garrett@Rehire.com</t>
  </si>
  <si>
    <t>Phill@Fightrr.com</t>
  </si>
  <si>
    <t>Bank Name</t>
  </si>
  <si>
    <t>• Edit customer data if info has changed</t>
  </si>
  <si>
    <t>WenCaL</t>
  </si>
  <si>
    <t>Gary.Miller@WenCaL.com</t>
  </si>
  <si>
    <t>Paul.Garza@Kind.com</t>
  </si>
  <si>
    <t>Robert.Marquez@Pet.com</t>
  </si>
  <si>
    <t>Natalie.Porter@Right.com</t>
  </si>
  <si>
    <t>Kim.West@Right.com</t>
  </si>
  <si>
    <t>Walter.Miller@Twistrr.com</t>
  </si>
  <si>
    <t>Brigitte.Bond@Twistrr.com</t>
  </si>
  <si>
    <t>Robert.Blume@Twistrr.com</t>
  </si>
  <si>
    <t>Mike.Saban@Twistrr.com</t>
  </si>
  <si>
    <t>Maria.Tot@Twistrr.com</t>
  </si>
  <si>
    <t>Ewan.Thompson@Perino.co.uk</t>
  </si>
  <si>
    <t>Robert.Richardson@WenCaL.co.uk</t>
  </si>
  <si>
    <t>View / Update Invoice Information</t>
  </si>
  <si>
    <t>• View the full list of invoices</t>
  </si>
  <si>
    <t>• Update invoice information such as payment date</t>
  </si>
  <si>
    <t>• Generate invoices</t>
  </si>
  <si>
    <t>Type &amp; Enter to select customer or company</t>
  </si>
  <si>
    <t>S. No.</t>
  </si>
  <si>
    <t>Instructions</t>
  </si>
  <si>
    <t xml:space="preserve">Create a UserForm for the fields in the "Data" sheet to add the records for the customers. </t>
  </si>
  <si>
    <t>Edit the customer data. 
[Note: Provide all the records in the listmenu; edit the selected record in the userform]</t>
  </si>
  <si>
    <t>Add / Edit Customer in Data Sheet</t>
  </si>
  <si>
    <t>Follow the instructions given below to integrate the required functionality in designing the dashboard.</t>
  </si>
  <si>
    <t>• Add new customer data to data sheet</t>
  </si>
  <si>
    <t xml:space="preserve">Create a dashboard to add, and edit the customer details and view their invoice data. </t>
  </si>
  <si>
    <t>After invoice has been created, allow the user to email the generated invoice as an attachment.</t>
  </si>
  <si>
    <t>Invoice Number</t>
  </si>
  <si>
    <t>Create a button to navigate to view all the created invoices in a separate sheet along with their status.</t>
  </si>
  <si>
    <t>Allow to create an invoice for a customer on the invoice sheet. Add the invoices in the list in a userform with the empty status. 
Select a customer to generate the invoice. For this, take the values from the invoice table for the respective fields in the template. The status can be created, paid, and sent. Update the status based on the functionality performed.</t>
  </si>
  <si>
    <t>Save the created invoice in separate folders in two formats i.e., excel and pdf format. Use the template sheet for
creating the invoice. Add the values from the invoice table, and then save the worksheet in another workbook and print the sheet as pdf format.</t>
  </si>
  <si>
    <t>Exercise</t>
  </si>
  <si>
    <t>Created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</si>
</sst>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00_);_(&quot;$&quot;* \(#,##0.00\);_(&quot;$&quot;* &quot;-&quot;??_);_(@_)"/>
    <numFmt numFmtId="165" formatCode="_(* #,##0.00_);_(* \(#,##0.00\);_(* &quot;-&quot;??_);_(@_)"/>
    <numFmt numFmtId="166" formatCode="0%;\-0%;"/>
  </numFmts>
  <fonts count="14" x14ac:knownFonts="1">
    <font>
      <sz val="11"/>
      <color theme="1"/>
      <name val="Arial"/>
      <family val="2"/>
      <scheme val="minor"/>
    </font>
    <font>
      <sz val="11"/>
      <color theme="1"/>
      <name val="Arial"/>
      <family val="2"/>
      <scheme val="minor"/>
    </font>
    <font>
      <b/>
      <sz val="11"/>
      <color theme="3"/>
      <name val="Arial"/>
      <family val="2"/>
      <scheme val="minor"/>
    </font>
    <font>
      <b/>
      <sz val="11"/>
      <name val="Arial"/>
      <family val="2"/>
      <scheme val="minor"/>
    </font>
    <font>
      <b/>
      <sz val="12"/>
      <color theme="1"/>
      <name val="Arial"/>
      <family val="2"/>
      <scheme val="minor"/>
    </font>
    <font>
      <sz val="11"/>
      <color theme="1"/>
      <name val="Arial"/>
      <family val="2"/>
    </font>
    <font>
      <b/>
      <sz val="11"/>
      <color theme="1" tint="0.249977111117893"/>
      <name val="Arial"/>
      <family val="2"/>
    </font>
    <font>
      <sz val="10"/>
      <color theme="1"/>
      <name val="Arial"/>
      <family val="2"/>
      <scheme val="minor"/>
    </font>
    <font>
      <b/>
      <sz val="11"/>
      <color theme="1" tint="0.14999847407452621"/>
      <name val="Arial"/>
      <family val="2"/>
      <scheme val="minor"/>
    </font>
    <font>
      <b/>
      <sz val="11"/>
      <color theme="1"/>
      <name val="Arial"/>
      <family val="2"/>
      <scheme val="minor"/>
    </font>
    <font>
      <sz val="11"/>
      <color rgb="FF000000"/>
      <name val="Arial"/>
      <family val="2"/>
    </font>
    <font>
      <b/>
      <u/>
      <sz val="20"/>
      <color rgb="FFFF0000"/>
      <name val="Arial"/>
      <family val="2"/>
      <scheme val="minor"/>
    </font>
    <font>
      <sz val="14"/>
      <color theme="1" tint="0.249977111117893"/>
      <name val="Arial"/>
      <family val="2"/>
      <scheme val="minor"/>
    </font>
    <font>
      <sz val="11"/>
      <color rgb="FFFFFFFF"/>
      <name val="Arial"/>
      <family val="2"/>
      <scheme val="minor"/>
    </font>
  </fonts>
  <fills count="13">
    <fill>
      <patternFill patternType="none"/>
    </fill>
    <fill>
      <patternFill patternType="gray125"/>
    </fill>
    <fill>
      <patternFill patternType="solid">
        <fgColor theme="0" tint="-0.14996795556505021"/>
        <bgColor indexed="64"/>
      </patternFill>
    </fill>
    <fill>
      <patternFill patternType="solid">
        <fgColor theme="2"/>
        <bgColor indexed="64"/>
      </patternFill>
    </fill>
    <fill>
      <patternFill patternType="solid">
        <fgColor rgb="FFF1F7ED"/>
        <bgColor indexed="64"/>
      </patternFill>
    </fill>
    <fill>
      <patternFill patternType="solid">
        <fgColor rgb="FFFFFBE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305496"/>
        <bgColor rgb="FF000000"/>
      </patternFill>
    </fill>
  </fills>
  <borders count="13">
    <border>
      <left/>
      <right/>
      <top/>
      <bottom/>
      <diagonal/>
    </border>
    <border>
      <left/>
      <right/>
      <top/>
      <bottom style="medium">
        <color theme="4" tint="0.39997558519241921"/>
      </bottom>
      <diagonal/>
    </border>
    <border>
      <left/>
      <right/>
      <top/>
      <bottom style="medium">
        <color theme="1" tint="0.499984740745262"/>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0" fontId="2" fillId="0" borderId="1" applyNumberFormat="0" applyFill="0" applyAlignment="0" applyProtection="0"/>
  </cellStyleXfs>
  <cellXfs count="91">
    <xf numFmtId="0" fontId="0" fillId="0" borderId="0" xfId="0"/>
    <xf numFmtId="0" fontId="0" fillId="0" borderId="0" xfId="0" applyAlignment="1">
      <alignment horizontal="right"/>
    </xf>
    <xf numFmtId="0" fontId="4" fillId="0" borderId="0" xfId="0" applyFont="1" applyAlignment="1">
      <alignment horizontal="right"/>
    </xf>
    <xf numFmtId="0" fontId="0" fillId="0" borderId="0" xfId="0" applyProtection="1"/>
    <xf numFmtId="9" fontId="0" fillId="0" borderId="0" xfId="2" applyFont="1" applyProtection="1"/>
    <xf numFmtId="165" fontId="0" fillId="0" borderId="0" xfId="0" applyNumberFormat="1"/>
    <xf numFmtId="0" fontId="0" fillId="0" borderId="0" xfId="0" applyBorder="1" applyProtection="1"/>
    <xf numFmtId="0" fontId="0" fillId="0" borderId="0" xfId="0" applyFill="1" applyProtection="1"/>
    <xf numFmtId="0" fontId="0" fillId="0" borderId="0" xfId="0" applyFill="1" applyBorder="1" applyProtection="1"/>
    <xf numFmtId="0" fontId="0" fillId="0" borderId="0" xfId="0" applyFill="1" applyAlignment="1" applyProtection="1">
      <alignment vertical="center"/>
    </xf>
    <xf numFmtId="4" fontId="5" fillId="4" borderId="0" xfId="0" applyNumberFormat="1" applyFont="1" applyFill="1" applyAlignment="1" applyProtection="1">
      <alignment wrapText="1"/>
    </xf>
    <xf numFmtId="0" fontId="0" fillId="6" borderId="0" xfId="0" applyFill="1"/>
    <xf numFmtId="0" fontId="0" fillId="6" borderId="0" xfId="0" applyFill="1" applyBorder="1"/>
    <xf numFmtId="0" fontId="0" fillId="0" borderId="0" xfId="0" applyAlignment="1">
      <alignment horizontal="left"/>
    </xf>
    <xf numFmtId="14" fontId="0" fillId="0" borderId="0" xfId="0" applyNumberFormat="1" applyAlignment="1">
      <alignment horizontal="left"/>
    </xf>
    <xf numFmtId="0" fontId="0" fillId="0" borderId="4" xfId="0" applyBorder="1" applyAlignment="1">
      <alignment horizontal="left" vertical="center" wrapText="1"/>
    </xf>
    <xf numFmtId="0" fontId="0" fillId="0" borderId="4" xfId="0" applyFont="1" applyBorder="1" applyAlignment="1">
      <alignment horizontal="center" vertical="center" wrapText="1"/>
    </xf>
    <xf numFmtId="165" fontId="0" fillId="0" borderId="4" xfId="1" applyNumberFormat="1" applyFont="1" applyBorder="1" applyAlignment="1">
      <alignment horizontal="center" vertical="center"/>
    </xf>
    <xf numFmtId="0" fontId="3" fillId="2" borderId="4" xfId="3" applyFont="1" applyFill="1" applyBorder="1" applyAlignment="1">
      <alignment horizontal="center" vertical="center" wrapText="1"/>
    </xf>
    <xf numFmtId="14" fontId="0" fillId="0" borderId="4" xfId="0" applyNumberFormat="1" applyFont="1" applyBorder="1" applyAlignment="1">
      <alignment horizontal="center" vertical="center" wrapText="1"/>
    </xf>
    <xf numFmtId="0" fontId="5" fillId="0" borderId="0" xfId="0" applyFont="1" applyAlignment="1" applyProtection="1">
      <alignment wrapText="1"/>
      <protection locked="0"/>
    </xf>
    <xf numFmtId="14" fontId="5" fillId="0" borderId="0" xfId="0" applyNumberFormat="1" applyFont="1" applyAlignment="1" applyProtection="1">
      <alignment horizontal="left" wrapText="1"/>
      <protection locked="0"/>
    </xf>
    <xf numFmtId="4" fontId="5" fillId="0" borderId="0" xfId="0" applyNumberFormat="1" applyFont="1" applyAlignment="1" applyProtection="1">
      <alignment wrapText="1"/>
      <protection locked="0"/>
    </xf>
    <xf numFmtId="4" fontId="5" fillId="0" borderId="0" xfId="0" applyNumberFormat="1" applyFont="1" applyFill="1" applyBorder="1" applyAlignment="1" applyProtection="1">
      <alignment wrapText="1"/>
      <protection locked="0"/>
    </xf>
    <xf numFmtId="0" fontId="5" fillId="0" borderId="0" xfId="0" applyFont="1" applyFill="1" applyBorder="1" applyAlignment="1" applyProtection="1">
      <alignment wrapText="1"/>
      <protection locked="0"/>
    </xf>
    <xf numFmtId="14" fontId="5" fillId="0" borderId="0" xfId="0" applyNumberFormat="1" applyFont="1" applyFill="1" applyBorder="1" applyAlignment="1" applyProtection="1">
      <alignment horizontal="left" wrapText="1"/>
      <protection locked="0"/>
    </xf>
    <xf numFmtId="0" fontId="5" fillId="3" borderId="0" xfId="0" applyFont="1" applyFill="1" applyProtection="1">
      <protection locked="0"/>
    </xf>
    <xf numFmtId="0" fontId="5" fillId="3" borderId="0" xfId="0" applyFont="1" applyFill="1" applyBorder="1" applyProtection="1">
      <protection locked="0"/>
    </xf>
    <xf numFmtId="4" fontId="5" fillId="3" borderId="0" xfId="0" applyNumberFormat="1" applyFont="1" applyFill="1" applyProtection="1">
      <protection locked="0"/>
    </xf>
    <xf numFmtId="4" fontId="5" fillId="3" borderId="0" xfId="0" applyNumberFormat="1" applyFont="1" applyFill="1" applyAlignment="1" applyProtection="1">
      <alignment wrapText="1"/>
      <protection locked="0"/>
    </xf>
    <xf numFmtId="0" fontId="5" fillId="0" borderId="0" xfId="0" applyFont="1" applyProtection="1">
      <protection locked="0"/>
    </xf>
    <xf numFmtId="4" fontId="5" fillId="3" borderId="0" xfId="0" applyNumberFormat="1" applyFont="1" applyFill="1" applyBorder="1" applyProtection="1">
      <protection locked="0"/>
    </xf>
    <xf numFmtId="4" fontId="5" fillId="3" borderId="0" xfId="0" applyNumberFormat="1" applyFont="1" applyFill="1" applyBorder="1" applyAlignment="1" applyProtection="1">
      <alignment wrapText="1"/>
      <protection locked="0"/>
    </xf>
    <xf numFmtId="0" fontId="5" fillId="0" borderId="0" xfId="0" applyFont="1" applyBorder="1" applyProtection="1">
      <protection locked="0"/>
    </xf>
    <xf numFmtId="0" fontId="5" fillId="0" borderId="0" xfId="0" applyFont="1" applyFill="1" applyBorder="1" applyProtection="1">
      <protection locked="0"/>
    </xf>
    <xf numFmtId="4" fontId="5" fillId="0" borderId="0" xfId="0" applyNumberFormat="1" applyFont="1" applyFill="1" applyBorder="1" applyProtection="1">
      <protection locked="0"/>
    </xf>
    <xf numFmtId="0" fontId="6" fillId="0" borderId="0" xfId="0" applyFont="1" applyFill="1" applyProtection="1">
      <protection locked="0"/>
    </xf>
    <xf numFmtId="0" fontId="6" fillId="0" borderId="2" xfId="0" applyFont="1" applyFill="1" applyBorder="1" applyAlignment="1" applyProtection="1">
      <alignment wrapText="1"/>
      <protection locked="0"/>
    </xf>
    <xf numFmtId="0" fontId="6" fillId="0" borderId="2" xfId="0" applyFont="1" applyFill="1" applyBorder="1" applyProtection="1">
      <protection locked="0"/>
    </xf>
    <xf numFmtId="9" fontId="6" fillId="0" borderId="2" xfId="2" applyFont="1" applyFill="1" applyBorder="1" applyAlignment="1" applyProtection="1">
      <alignment wrapText="1"/>
      <protection locked="0"/>
    </xf>
    <xf numFmtId="4" fontId="6" fillId="0" borderId="2" xfId="0" applyNumberFormat="1" applyFont="1" applyFill="1" applyBorder="1" applyAlignment="1" applyProtection="1">
      <alignment wrapText="1"/>
      <protection locked="0"/>
    </xf>
    <xf numFmtId="0" fontId="5" fillId="0" borderId="0" xfId="0" applyFont="1" applyFill="1" applyProtection="1">
      <protection locked="0"/>
    </xf>
    <xf numFmtId="0" fontId="5" fillId="4" borderId="0" xfId="0" applyFont="1" applyFill="1" applyProtection="1">
      <protection locked="0"/>
    </xf>
    <xf numFmtId="4" fontId="5" fillId="4" borderId="0" xfId="0" applyNumberFormat="1" applyFont="1" applyFill="1" applyAlignment="1" applyProtection="1">
      <alignment wrapText="1"/>
      <protection locked="0"/>
    </xf>
    <xf numFmtId="3" fontId="5" fillId="0" borderId="0" xfId="0" applyNumberFormat="1" applyFont="1" applyAlignment="1" applyProtection="1">
      <alignment wrapText="1"/>
      <protection locked="0"/>
    </xf>
    <xf numFmtId="14" fontId="5" fillId="5" borderId="0" xfId="0" applyNumberFormat="1" applyFont="1" applyFill="1" applyAlignment="1" applyProtection="1">
      <alignment wrapText="1"/>
      <protection locked="0"/>
    </xf>
    <xf numFmtId="14" fontId="5" fillId="4" borderId="0" xfId="0" applyNumberFormat="1" applyFont="1" applyFill="1" applyAlignment="1" applyProtection="1">
      <alignment wrapText="1"/>
      <protection locked="0"/>
    </xf>
    <xf numFmtId="14" fontId="5" fillId="0" borderId="0" xfId="0" applyNumberFormat="1" applyFont="1" applyAlignment="1" applyProtection="1">
      <alignment wrapText="1"/>
      <protection locked="0"/>
    </xf>
    <xf numFmtId="0" fontId="5" fillId="0" borderId="0" xfId="0" applyFont="1" applyAlignment="1" applyProtection="1">
      <alignment vertical="center"/>
      <protection locked="0"/>
    </xf>
    <xf numFmtId="0" fontId="0" fillId="0" borderId="0" xfId="0" applyProtection="1">
      <protection locked="0"/>
    </xf>
    <xf numFmtId="0" fontId="0" fillId="0" borderId="0" xfId="0" applyAlignment="1" applyProtection="1">
      <alignment vertical="center"/>
      <protection locked="0"/>
    </xf>
    <xf numFmtId="0" fontId="0" fillId="4" borderId="0" xfId="0" applyFill="1" applyProtection="1">
      <protection locked="0"/>
    </xf>
    <xf numFmtId="0" fontId="0" fillId="0" borderId="0" xfId="0" applyFill="1" applyProtection="1">
      <protection locked="0"/>
    </xf>
    <xf numFmtId="0" fontId="0" fillId="0" borderId="0" xfId="0" applyFill="1" applyBorder="1" applyProtection="1">
      <protection locked="0"/>
    </xf>
    <xf numFmtId="0" fontId="5" fillId="4" borderId="0" xfId="0" applyFont="1" applyFill="1" applyAlignment="1" applyProtection="1">
      <alignment wrapText="1"/>
      <protection locked="0"/>
    </xf>
    <xf numFmtId="3" fontId="5" fillId="0" borderId="0" xfId="0" applyNumberFormat="1" applyFont="1" applyFill="1" applyBorder="1" applyAlignment="1" applyProtection="1">
      <alignment wrapText="1"/>
      <protection locked="0"/>
    </xf>
    <xf numFmtId="14" fontId="5" fillId="5" borderId="0" xfId="0" applyNumberFormat="1" applyFont="1" applyFill="1" applyBorder="1" applyAlignment="1" applyProtection="1">
      <alignment wrapText="1"/>
      <protection locked="0"/>
    </xf>
    <xf numFmtId="14" fontId="5" fillId="4" borderId="0" xfId="0" applyNumberFormat="1" applyFont="1" applyFill="1" applyBorder="1" applyAlignment="1" applyProtection="1">
      <alignment wrapText="1"/>
      <protection locked="0"/>
    </xf>
    <xf numFmtId="14" fontId="5" fillId="0" borderId="0" xfId="0" applyNumberFormat="1" applyFont="1" applyFill="1" applyBorder="1" applyAlignment="1" applyProtection="1">
      <alignment wrapText="1"/>
      <protection locked="0"/>
    </xf>
    <xf numFmtId="4" fontId="5" fillId="4" borderId="0" xfId="0" applyNumberFormat="1" applyFont="1" applyFill="1" applyBorder="1" applyAlignment="1" applyProtection="1">
      <alignment wrapText="1"/>
      <protection locked="0"/>
    </xf>
    <xf numFmtId="0" fontId="5" fillId="0" borderId="0" xfId="0" applyFont="1" applyFill="1" applyAlignment="1" applyProtection="1">
      <alignment wrapText="1"/>
      <protection locked="0"/>
    </xf>
    <xf numFmtId="9" fontId="5" fillId="0" borderId="0" xfId="2" applyFont="1" applyAlignment="1" applyProtection="1">
      <alignment wrapText="1"/>
      <protection locked="0"/>
    </xf>
    <xf numFmtId="9" fontId="5" fillId="0" borderId="0" xfId="2" applyFont="1" applyProtection="1">
      <protection locked="0"/>
    </xf>
    <xf numFmtId="4" fontId="5" fillId="0" borderId="0" xfId="0" applyNumberFormat="1" applyFont="1" applyProtection="1">
      <protection locked="0"/>
    </xf>
    <xf numFmtId="0" fontId="5" fillId="5" borderId="0" xfId="0" applyNumberFormat="1" applyFont="1" applyFill="1" applyAlignment="1" applyProtection="1">
      <alignment wrapText="1"/>
      <protection locked="0"/>
    </xf>
    <xf numFmtId="0" fontId="0" fillId="0" borderId="0" xfId="0" applyNumberFormat="1" applyAlignment="1">
      <alignment horizontal="left"/>
    </xf>
    <xf numFmtId="166" fontId="0" fillId="0" borderId="0" xfId="2" applyNumberFormat="1" applyFont="1" applyFill="1" applyProtection="1"/>
    <xf numFmtId="166" fontId="0" fillId="0" borderId="0" xfId="2" applyNumberFormat="1" applyFont="1" applyProtection="1"/>
    <xf numFmtId="166" fontId="0" fillId="0" borderId="4" xfId="2" applyNumberFormat="1" applyFont="1" applyBorder="1" applyAlignment="1">
      <alignment horizontal="center" vertical="center" wrapText="1"/>
    </xf>
    <xf numFmtId="166" fontId="5" fillId="4" borderId="0" xfId="2" applyNumberFormat="1" applyFont="1" applyFill="1" applyProtection="1">
      <protection locked="0"/>
    </xf>
    <xf numFmtId="166" fontId="5" fillId="4" borderId="0" xfId="2" applyNumberFormat="1" applyFont="1" applyFill="1" applyAlignment="1" applyProtection="1">
      <alignment wrapText="1"/>
      <protection locked="0"/>
    </xf>
    <xf numFmtId="166" fontId="0" fillId="4" borderId="0" xfId="2" applyNumberFormat="1" applyFont="1" applyFill="1" applyProtection="1">
      <protection locked="0"/>
    </xf>
    <xf numFmtId="0" fontId="11" fillId="8" borderId="0" xfId="0" applyFont="1" applyFill="1"/>
    <xf numFmtId="0" fontId="0" fillId="8" borderId="0" xfId="0" applyFill="1"/>
    <xf numFmtId="0" fontId="12" fillId="8" borderId="0" xfId="0" applyFont="1" applyFill="1"/>
    <xf numFmtId="0" fontId="9" fillId="9" borderId="5" xfId="0" applyFont="1" applyFill="1" applyBorder="1" applyAlignment="1">
      <alignment horizontal="center"/>
    </xf>
    <xf numFmtId="0" fontId="0" fillId="7" borderId="5" xfId="0" applyFill="1" applyBorder="1" applyAlignment="1">
      <alignment vertical="center"/>
    </xf>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3" xfId="0" applyFill="1" applyBorder="1"/>
    <xf numFmtId="0" fontId="0" fillId="6" borderId="10" xfId="0" applyFill="1" applyBorder="1"/>
    <xf numFmtId="0" fontId="0" fillId="6" borderId="11" xfId="0" applyFill="1" applyBorder="1"/>
    <xf numFmtId="0" fontId="0" fillId="6" borderId="12" xfId="0" applyFill="1" applyBorder="1"/>
    <xf numFmtId="0" fontId="8" fillId="10" borderId="0" xfId="0" applyFont="1" applyFill="1" applyAlignment="1">
      <alignment horizontal="left" indent="1"/>
    </xf>
    <xf numFmtId="0" fontId="0" fillId="10" borderId="0" xfId="0" applyFill="1"/>
    <xf numFmtId="0" fontId="7" fillId="10" borderId="0" xfId="0" applyFont="1" applyFill="1" applyAlignment="1">
      <alignment horizontal="left" indent="1"/>
    </xf>
    <xf numFmtId="0" fontId="0" fillId="11" borderId="5" xfId="0" applyFill="1" applyBorder="1" applyAlignment="1">
      <alignment vertical="center" wrapText="1"/>
    </xf>
    <xf numFmtId="0" fontId="13" fillId="12" borderId="0" xfId="0" applyFont="1" applyFill="1"/>
    <xf numFmtId="0" fontId="0" fillId="11" borderId="5" xfId="0" applyFill="1" applyBorder="1" applyAlignment="1">
      <alignment vertical="center"/>
    </xf>
  </cellXfs>
  <cellStyles count="4">
    <cellStyle name="Currency" xfId="1" builtinId="4"/>
    <cellStyle name="Heading 3" xfId="3" builtinId="18"/>
    <cellStyle name="Normal" xfId="0" builtinId="0"/>
    <cellStyle name="Percent" xfId="2" builtinId="5"/>
  </cellStyles>
  <dxfs count="45">
    <dxf>
      <font>
        <strike val="0"/>
        <outline val="0"/>
        <shadow val="0"/>
        <u val="none"/>
        <vertAlign val="baseline"/>
        <sz val="11"/>
        <name val="Arial"/>
        <family val="2"/>
        <scheme val="none"/>
      </font>
      <numFmt numFmtId="4" formatCode="#,##0.00"/>
      <fill>
        <patternFill patternType="solid">
          <fgColor indexed="64"/>
          <bgColor rgb="FFF1F7ED"/>
        </patternFill>
      </fill>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numFmt numFmtId="167" formatCode="m/d/yyyy"/>
      <fill>
        <patternFill patternType="solid">
          <fgColor indexed="64"/>
          <bgColor rgb="FFF1F7ED"/>
        </patternFill>
      </fill>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fill>
        <patternFill patternType="solid">
          <fgColor indexed="64"/>
          <bgColor rgb="FFFFFBEF"/>
        </patternFill>
      </fill>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numFmt numFmtId="0" formatCode="General"/>
      <fill>
        <patternFill patternType="solid">
          <fgColor indexed="64"/>
          <bgColor rgb="FFFFFBEF"/>
        </patternFill>
      </fill>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numFmt numFmtId="4" formatCode="#,##0.00"/>
      <fill>
        <patternFill patternType="solid">
          <fgColor indexed="64"/>
          <bgColor rgb="FFF1F7ED"/>
        </patternFill>
      </fill>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numFmt numFmtId="4" formatCode="#,##0.00"/>
      <fill>
        <patternFill patternType="solid">
          <fgColor indexed="64"/>
          <bgColor rgb="FFF1F7ED"/>
        </patternFill>
      </fill>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numFmt numFmtId="3" formatCode="#,##0"/>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numFmt numFmtId="4" formatCode="#,##0.00"/>
      <fill>
        <patternFill patternType="solid">
          <fgColor indexed="64"/>
          <bgColor rgb="FFF1F7ED"/>
        </patternFill>
      </fill>
      <alignment horizontal="general" vertical="bottom" textRotation="0" wrapText="1" indent="0" justifyLastLine="0" shrinkToFit="0" readingOrder="0"/>
      <protection locked="1" hidden="0"/>
    </dxf>
    <dxf>
      <font>
        <strike val="0"/>
        <outline val="0"/>
        <shadow val="0"/>
        <u val="none"/>
        <vertAlign val="baseline"/>
        <sz val="11"/>
        <name val="Arial"/>
        <family val="2"/>
        <scheme val="none"/>
      </font>
      <numFmt numFmtId="4" formatCode="#,##0.00"/>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numFmt numFmtId="4" formatCode="#,##0.00"/>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numFmt numFmtId="4" formatCode="#,##0.00"/>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alignment horizontal="general" vertical="bottom"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66" formatCode="0%;\-0%;"/>
      <fill>
        <patternFill patternType="solid">
          <fgColor indexed="64"/>
          <bgColor rgb="FFF1F7ED"/>
        </patternFill>
      </fill>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fill>
        <patternFill patternType="solid">
          <fgColor indexed="64"/>
          <bgColor rgb="FFF1F7ED"/>
        </patternFill>
      </fill>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fill>
        <patternFill patternType="solid">
          <fgColor indexed="64"/>
          <bgColor rgb="FFF1F7ED"/>
        </patternFill>
      </fill>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fill>
        <patternFill patternType="solid">
          <fgColor indexed="64"/>
          <bgColor rgb="FFF1F7ED"/>
        </patternFill>
      </fill>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fill>
        <patternFill patternType="solid">
          <fgColor indexed="64"/>
          <bgColor rgb="FFF1F7ED"/>
        </patternFill>
      </fill>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alignment horizontal="general" vertical="bottom" textRotation="0" wrapText="1" indent="0" justifyLastLine="0" shrinkToFit="0" readingOrder="0"/>
      <protection locked="0" hidden="0"/>
    </dxf>
    <dxf>
      <font>
        <strike val="0"/>
        <outline val="0"/>
        <shadow val="0"/>
        <u val="none"/>
        <vertAlign val="baseline"/>
        <sz val="11"/>
        <name val="Arial"/>
        <family val="2"/>
        <scheme val="none"/>
      </font>
      <alignment horizontal="general" vertical="bottom" textRotation="0" wrapText="1" indent="0" justifyLastLine="0" shrinkToFit="0" readingOrder="0"/>
      <protection locked="0" hidden="0"/>
    </dxf>
    <dxf>
      <border>
        <bottom style="medium">
          <color theme="1" tint="0.499984740745262"/>
        </bottom>
      </border>
    </dxf>
    <dxf>
      <font>
        <b/>
        <strike val="0"/>
        <outline val="0"/>
        <shadow val="0"/>
        <u val="none"/>
        <vertAlign val="baseline"/>
        <sz val="11"/>
        <color theme="1" tint="0.249977111117893"/>
        <name val="Arial"/>
        <family val="2"/>
        <scheme val="none"/>
      </font>
      <fill>
        <patternFill patternType="none">
          <fgColor indexed="64"/>
          <bgColor auto="1"/>
        </patternFill>
      </fill>
      <protection locked="0" hidden="0"/>
    </dxf>
    <dxf>
      <protection locked="1" hidden="0"/>
    </dxf>
    <dxf>
      <font>
        <b val="0"/>
        <i val="0"/>
        <strike val="0"/>
        <condense val="0"/>
        <extend val="0"/>
        <outline val="0"/>
        <shadow val="0"/>
        <u val="none"/>
        <vertAlign val="baseline"/>
        <sz val="11"/>
        <color theme="1"/>
        <name val="Arial"/>
        <family val="2"/>
        <scheme val="minor"/>
      </font>
      <numFmt numFmtId="166" formatCode="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patternType="none">
          <fgColor indexed="64"/>
          <bgColor auto="1"/>
        </patternFill>
      </fill>
    </dxf>
    <dxf>
      <fill>
        <patternFill patternType="none">
          <fgColor indexed="64"/>
          <bgColor auto="1"/>
        </patternFill>
      </fill>
    </dxf>
    <dxf>
      <font>
        <b/>
        <color theme="6" tint="-0.249977111117893"/>
      </font>
    </dxf>
    <dxf>
      <font>
        <b/>
        <color theme="6" tint="-0.249977111117893"/>
      </font>
    </dxf>
    <dxf>
      <font>
        <b/>
        <color theme="6" tint="-0.249977111117893"/>
      </font>
      <border>
        <top style="thin">
          <color theme="6"/>
        </top>
        <bottom style="medium">
          <color theme="6"/>
        </bottom>
      </border>
    </dxf>
    <dxf>
      <font>
        <b/>
        <color theme="6" tint="-0.249977111117893"/>
      </font>
      <border>
        <bottom style="medium">
          <color theme="6"/>
        </bottom>
      </border>
    </dxf>
    <dxf>
      <font>
        <color theme="1" tint="0.34998626667073579"/>
      </font>
      <border>
        <top/>
        <bottom style="thin">
          <color theme="6"/>
        </bottom>
        <vertical style="thick">
          <color theme="0"/>
        </vertical>
        <horizontal style="thin">
          <color theme="0" tint="-0.14996795556505021"/>
        </horizontal>
      </border>
    </dxf>
  </dxfs>
  <tableStyles count="1" defaultTableStyle="TableStyleMedium2" defaultPivotStyle="PivotStyleLight16">
    <tableStyle name="LG_discreet" pivot="0" count="7" xr9:uid="{00000000-0011-0000-FFFF-FFFF00000000}">
      <tableStyleElement type="wholeTable" dxfId="44"/>
      <tableStyleElement type="headerRow" dxfId="43"/>
      <tableStyleElement type="totalRow" dxfId="42"/>
      <tableStyleElement type="firstColumn" dxfId="41"/>
      <tableStyleElement type="lastColumn" dxfId="40"/>
      <tableStyleElement type="firstRowStripe" dxfId="39"/>
      <tableStyleElement type="firstColumnStripe" dxfId="38"/>
    </tableStyle>
  </tableStyles>
  <colors>
    <mruColors>
      <color rgb="FF2981B9"/>
      <color rgb="FFE6834F"/>
      <color rgb="FF9DA85E"/>
      <color rgb="FFF1F7ED"/>
      <color rgb="FFFFF9E7"/>
      <color rgb="FFFFFBEF"/>
      <color rgb="FFF4F9F1"/>
      <color rgb="FFF4F3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3</xdr:col>
      <xdr:colOff>2324100</xdr:colOff>
      <xdr:row>9</xdr:row>
      <xdr:rowOff>66675</xdr:rowOff>
    </xdr:from>
    <xdr:to>
      <xdr:col>5</xdr:col>
      <xdr:colOff>548746</xdr:colOff>
      <xdr:row>13</xdr:row>
      <xdr:rowOff>23284</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4381500" y="1722120"/>
          <a:ext cx="1954636" cy="690034"/>
          <a:chOff x="2677576" y="3703635"/>
          <a:chExt cx="1559453" cy="457728"/>
        </a:xfrm>
      </xdr:grpSpPr>
      <mc:AlternateContent xmlns:mc="http://schemas.openxmlformats.org/markup-compatibility/2006">
        <mc:Choice xmlns:a14="http://schemas.microsoft.com/office/drawing/2010/main" Requires="a14">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2677576" y="3703635"/>
                <a:ext cx="1559453" cy="4577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Arial"/>
                    <a:cs typeface="Arial"/>
                  </a:rPr>
                  <a:t>          View Invoices</a:t>
                </a:r>
              </a:p>
            </xdr:txBody>
          </xdr:sp>
        </mc:Choice>
        <mc:Fallback/>
      </mc:AlternateContent>
      <xdr:pic macro="[0]!View_Invoices">
        <xdr:nvPicPr>
          <xdr:cNvPr id="13" name="Graphic 12" descr="Table">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778126" y="3757084"/>
            <a:ext cx="371475" cy="343959"/>
          </a:xfrm>
          <a:prstGeom prst="rect">
            <a:avLst/>
          </a:prstGeom>
        </xdr:spPr>
      </xdr:pic>
    </xdr:grpSp>
    <xdr:clientData/>
  </xdr:twoCellAnchor>
  <xdr:twoCellAnchor>
    <xdr:from>
      <xdr:col>10</xdr:col>
      <xdr:colOff>1924050</xdr:colOff>
      <xdr:row>7</xdr:row>
      <xdr:rowOff>100541</xdr:rowOff>
    </xdr:from>
    <xdr:to>
      <xdr:col>12</xdr:col>
      <xdr:colOff>476250</xdr:colOff>
      <xdr:row>10</xdr:row>
      <xdr:rowOff>42052</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11140440" y="1390226"/>
          <a:ext cx="1744980" cy="488246"/>
          <a:chOff x="6656909" y="3111461"/>
          <a:chExt cx="1645713" cy="454802"/>
        </a:xfrm>
      </xdr:grpSpPr>
      <mc:AlternateContent xmlns:mc="http://schemas.openxmlformats.org/markup-compatibility/2006">
        <mc:Choice xmlns:a14="http://schemas.microsoft.com/office/drawing/2010/main" Requires="a14">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6656909" y="3111461"/>
                <a:ext cx="1645713" cy="454802"/>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Arial"/>
                    <a:cs typeface="Arial"/>
                  </a:rPr>
                  <a:t>            Add Customer</a:t>
                </a:r>
              </a:p>
            </xdr:txBody>
          </xdr:sp>
        </mc:Choice>
        <mc:Fallback/>
      </mc:AlternateContent>
      <xdr:pic macro="[0]!Customer_Master">
        <xdr:nvPicPr>
          <xdr:cNvPr id="16" name="Graphic 15" descr="Employee Badge">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744465" y="3113613"/>
            <a:ext cx="457457" cy="444498"/>
          </a:xfrm>
          <a:prstGeom prst="rect">
            <a:avLst/>
          </a:prstGeom>
        </xdr:spPr>
      </xdr:pic>
    </xdr:grpSp>
    <xdr:clientData/>
  </xdr:twoCellAnchor>
  <xdr:twoCellAnchor>
    <xdr:from>
      <xdr:col>10</xdr:col>
      <xdr:colOff>1924050</xdr:colOff>
      <xdr:row>10</xdr:row>
      <xdr:rowOff>119063</xdr:rowOff>
    </xdr:from>
    <xdr:to>
      <xdr:col>12</xdr:col>
      <xdr:colOff>466725</xdr:colOff>
      <xdr:row>13</xdr:row>
      <xdr:rowOff>52916</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11140440" y="1953578"/>
          <a:ext cx="1729740" cy="488208"/>
          <a:chOff x="6651074" y="3671844"/>
          <a:chExt cx="1642003" cy="418570"/>
        </a:xfrm>
      </xdr:grpSpPr>
      <mc:AlternateContent xmlns:mc="http://schemas.openxmlformats.org/markup-compatibility/2006">
        <mc:Choice xmlns:a14="http://schemas.microsoft.com/office/drawing/2010/main" Requires="a14">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100-000006340000}"/>
                  </a:ext>
                </a:extLst>
              </xdr:cNvPr>
              <xdr:cNvSpPr/>
            </xdr:nvSpPr>
            <xdr:spPr bwMode="auto">
              <a:xfrm>
                <a:off x="6651074" y="3671844"/>
                <a:ext cx="1642003" cy="41857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Arial"/>
                    <a:cs typeface="Arial"/>
                  </a:rPr>
                  <a:t>          Edit Customer Data</a:t>
                </a:r>
              </a:p>
            </xdr:txBody>
          </xdr:sp>
        </mc:Choice>
        <mc:Fallback/>
      </mc:AlternateContent>
      <xdr:pic macro="[0]!View_Master">
        <xdr:nvPicPr>
          <xdr:cNvPr id="19" name="Graphic 18" descr="Pencil">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41580" y="3738166"/>
            <a:ext cx="342899" cy="320243"/>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10</xdr:col>
          <xdr:colOff>76200</xdr:colOff>
          <xdr:row>7</xdr:row>
          <xdr:rowOff>123825</xdr:rowOff>
        </xdr:from>
        <xdr:to>
          <xdr:col>10</xdr:col>
          <xdr:colOff>1828800</xdr:colOff>
          <xdr:row>10</xdr:row>
          <xdr:rowOff>47625</xdr:rowOff>
        </xdr:to>
        <xdr:sp macro="" textlink="">
          <xdr:nvSpPr>
            <xdr:cNvPr id="13319" name="AddCustomer"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10</xdr:row>
          <xdr:rowOff>133350</xdr:rowOff>
        </xdr:from>
        <xdr:to>
          <xdr:col>10</xdr:col>
          <xdr:colOff>1828800</xdr:colOff>
          <xdr:row>13</xdr:row>
          <xdr:rowOff>57150</xdr:rowOff>
        </xdr:to>
        <xdr:sp macro="" textlink="">
          <xdr:nvSpPr>
            <xdr:cNvPr id="13320" name="EditCustomer"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77029</xdr:colOff>
      <xdr:row>0</xdr:row>
      <xdr:rowOff>57150</xdr:rowOff>
    </xdr:from>
    <xdr:to>
      <xdr:col>1</xdr:col>
      <xdr:colOff>923925</xdr:colOff>
      <xdr:row>3</xdr:row>
      <xdr:rowOff>9525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7029" y="60960"/>
          <a:ext cx="1035491" cy="495300"/>
          <a:chOff x="77029" y="114300"/>
          <a:chExt cx="1780347" cy="657225"/>
        </a:xfrm>
      </xdr:grpSpPr>
      <mc:AlternateContent xmlns:mc="http://schemas.openxmlformats.org/markup-compatibility/2006">
        <mc:Choice xmlns:a14="http://schemas.microsoft.com/office/drawing/2010/main" Requires="a14">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585788" y="233363"/>
                <a:ext cx="1271588" cy="461962"/>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Arial"/>
                    <a:cs typeface="Arial"/>
                  </a:rPr>
                  <a:t>Create Invoice</a:t>
                </a:r>
              </a:p>
            </xdr:txBody>
          </xdr:sp>
        </mc:Choice>
        <mc:Fallback/>
      </mc:AlternateContent>
      <xdr:pic macro="[0]!Create_Invoice">
        <xdr:nvPicPr>
          <xdr:cNvPr id="6" name="Graphic 5" descr="Typewriter">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029" y="114300"/>
            <a:ext cx="742950" cy="657225"/>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1</xdr:col>
          <xdr:colOff>209550</xdr:colOff>
          <xdr:row>4</xdr:row>
          <xdr:rowOff>66675</xdr:rowOff>
        </xdr:from>
        <xdr:to>
          <xdr:col>2</xdr:col>
          <xdr:colOff>114300</xdr:colOff>
          <xdr:row>5</xdr:row>
          <xdr:rowOff>57150</xdr:rowOff>
        </xdr:to>
        <xdr:sp macro="" textlink="">
          <xdr:nvSpPr>
            <xdr:cNvPr id="7171" name="AXcbHidePaid"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1133475</xdr:colOff>
          <xdr:row>0</xdr:row>
          <xdr:rowOff>123825</xdr:rowOff>
        </xdr:from>
        <xdr:to>
          <xdr:col>2</xdr:col>
          <xdr:colOff>1200150</xdr:colOff>
          <xdr:row>3</xdr:row>
          <xdr:rowOff>0</xdr:rowOff>
        </xdr:to>
        <xdr:sp macro="" textlink="">
          <xdr:nvSpPr>
            <xdr:cNvPr id="7176" name="create" hidden="1">
              <a:extLst>
                <a:ext uri="{63B3BB69-23CF-44E3-9099-C40C66FF867C}">
                  <a14:compatExt spid="_x0000_s7176"/>
                </a:ext>
                <a:ext uri="{FF2B5EF4-FFF2-40B4-BE49-F238E27FC236}">
                  <a16:creationId xmlns:a16="http://schemas.microsoft.com/office/drawing/2014/main" id="{00000000-0008-0000-03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4</xdr:row>
          <xdr:rowOff>38100</xdr:rowOff>
        </xdr:from>
        <xdr:to>
          <xdr:col>7</xdr:col>
          <xdr:colOff>594360</xdr:colOff>
          <xdr:row>6</xdr:row>
          <xdr:rowOff>7620</xdr:rowOff>
        </xdr:to>
        <xdr:sp macro="" textlink="">
          <xdr:nvSpPr>
            <xdr:cNvPr id="17409" name="templatecrea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38100</xdr:colOff>
          <xdr:row>7</xdr:row>
          <xdr:rowOff>76200</xdr:rowOff>
        </xdr:from>
        <xdr:to>
          <xdr:col>7</xdr:col>
          <xdr:colOff>638175</xdr:colOff>
          <xdr:row>9</xdr:row>
          <xdr:rowOff>9525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4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Arial"/>
                  <a:cs typeface="Arial"/>
                </a:rPr>
                <a:t>Save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xdr:row>
          <xdr:rowOff>19050</xdr:rowOff>
        </xdr:from>
        <xdr:to>
          <xdr:col>7</xdr:col>
          <xdr:colOff>628650</xdr:colOff>
          <xdr:row>11</xdr:row>
          <xdr:rowOff>133350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400-000003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Arial"/>
                  <a:cs typeface="Arial"/>
                </a:rPr>
                <a:t>Save as Excel</a:t>
              </a:r>
            </a:p>
            <a:p>
              <a:pPr algn="ctr" rtl="0">
                <a:defRPr sz="1000"/>
              </a:pPr>
              <a:endParaRPr lang="en-CA"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12</xdr:row>
          <xdr:rowOff>142875</xdr:rowOff>
        </xdr:from>
        <xdr:to>
          <xdr:col>8</xdr:col>
          <xdr:colOff>403860</xdr:colOff>
          <xdr:row>14</xdr:row>
          <xdr:rowOff>144780</xdr:rowOff>
        </xdr:to>
        <xdr:sp macro="" textlink="">
          <xdr:nvSpPr>
            <xdr:cNvPr id="17413" name="emailcreate" hidden="1">
              <a:extLst>
                <a:ext uri="{63B3BB69-23CF-44E3-9099-C40C66FF867C}">
                  <a14:compatExt spid="_x0000_s17413"/>
                </a:ext>
                <a:ext uri="{FF2B5EF4-FFF2-40B4-BE49-F238E27FC236}">
                  <a16:creationId xmlns:a16="http://schemas.microsoft.com/office/drawing/2014/main" id="{00000000-0008-0000-0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ustomerTable" displayName="CustomerTable" ref="A1:H32" totalsRowShown="0" dataDxfId="37">
  <autoFilter ref="A1:H32" xr:uid="{00000000-0009-0000-0100-000001000000}"/>
  <tableColumns count="8">
    <tableColumn id="1" xr3:uid="{00000000-0010-0000-0100-000001000000}" name="Customer" dataDxfId="36"/>
    <tableColumn id="2" xr3:uid="{00000000-0010-0000-0100-000002000000}" name="Company" dataDxfId="35"/>
    <tableColumn id="3" xr3:uid="{00000000-0010-0000-0100-000003000000}" name="Address Line 1" dataDxfId="34"/>
    <tableColumn id="4" xr3:uid="{00000000-0010-0000-0100-000004000000}" name="Address Line 2" dataDxfId="33"/>
    <tableColumn id="5" xr3:uid="{00000000-0010-0000-0100-000005000000}" name="Address Line 3" dataDxfId="32"/>
    <tableColumn id="6" xr3:uid="{00000000-0010-0000-0100-000006000000}" name="UID" dataDxfId="31"/>
    <tableColumn id="7" xr3:uid="{00000000-0010-0000-0100-000007000000}" name="VAT" dataDxfId="30" dataCellStyle="Percent"/>
    <tableColumn id="8" xr3:uid="{00000000-0010-0000-0100-000008000000}" name="Email" dataDxfId="2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InvoiceTable" displayName="InvoiceTable" ref="B7:AA38" totalsRowShown="0" headerRowDxfId="28" dataDxfId="26" headerRowBorderDxfId="27">
  <tableColumns count="26">
    <tableColumn id="1" xr3:uid="{00000000-0010-0000-0000-000001000000}" name="Customer" dataDxfId="25"/>
    <tableColumn id="2" xr3:uid="{00000000-0010-0000-0000-000002000000}" name="Company" dataDxfId="24"/>
    <tableColumn id="3" xr3:uid="{00000000-0010-0000-0000-000003000000}" name="Address Line 1" dataDxfId="23"/>
    <tableColumn id="4" xr3:uid="{00000000-0010-0000-0000-000004000000}" name="Address Line 2" dataDxfId="22"/>
    <tableColumn id="5" xr3:uid="{00000000-0010-0000-0000-000005000000}" name="Address Line 3" dataDxfId="21"/>
    <tableColumn id="6" xr3:uid="{00000000-0010-0000-0000-000006000000}" name="UID" dataDxfId="20"/>
    <tableColumn id="22" xr3:uid="{00000000-0010-0000-0000-000016000000}" name="VAT" dataDxfId="19" dataCellStyle="Percent"/>
    <tableColumn id="7" xr3:uid="{00000000-0010-0000-0000-000007000000}" name="Services Line 1" dataDxfId="18"/>
    <tableColumn id="8" xr3:uid="{00000000-0010-0000-0000-000008000000}" name="Date Line 1" dataDxfId="17"/>
    <tableColumn id="9" xr3:uid="{00000000-0010-0000-0000-000009000000}" name="Amount Line 1" dataDxfId="16"/>
    <tableColumn id="10" xr3:uid="{00000000-0010-0000-0000-00000A000000}" name="Services Line 2" dataDxfId="15"/>
    <tableColumn id="11" xr3:uid="{00000000-0010-0000-0000-00000B000000}" name="Date Line 2" dataDxfId="14"/>
    <tableColumn id="12" xr3:uid="{00000000-0010-0000-0000-00000C000000}" name="Amount Line 2" dataDxfId="13"/>
    <tableColumn id="13" xr3:uid="{00000000-0010-0000-0000-00000D000000}" name="Services Line 3" dataDxfId="12"/>
    <tableColumn id="14" xr3:uid="{00000000-0010-0000-0000-00000E000000}" name="Date Line 3" dataDxfId="11"/>
    <tableColumn id="15" xr3:uid="{00000000-0010-0000-0000-00000F000000}" name="Amount Line 3" dataDxfId="10"/>
    <tableColumn id="19" xr3:uid="{00000000-0010-0000-0000-000013000000}" name="Agreed Amount Total" dataDxfId="9">
      <calculatedColumnFormula>InvoiceTable[[#This Row],[Amount Line 1]]+InvoiceTable[[#This Row],[Amount Line 2]]+InvoiceTable[[#This Row],[Amount Line 3]]</calculatedColumnFormula>
    </tableColumn>
    <tableColumn id="20" xr3:uid="{00000000-0010-0000-0000-000014000000}" name="Additional Expenses" dataDxfId="8"/>
    <tableColumn id="21" xr3:uid="{00000000-0010-0000-0000-000015000000}" name="Net Amount" dataDxfId="7">
      <calculatedColumnFormula>InvoiceTable[[#This Row],[Agreed Amount Total]]+InvoiceTable[[#This Row],[Additional Expenses]]</calculatedColumnFormula>
    </tableColumn>
    <tableColumn id="23" xr3:uid="{00000000-0010-0000-0000-000017000000}" name="Final Invoiced Amount" dataDxfId="6">
      <calculatedColumnFormula>InvoiceTable[[#This Row],[Net Amount]]+InvoiceTable[[#This Row],[VAT to Pay]]</calculatedColumnFormula>
    </tableColumn>
    <tableColumn id="24" xr3:uid="{00000000-0010-0000-0000-000018000000}" name="Invoice number" dataDxfId="5"/>
    <tableColumn id="25" xr3:uid="{00000000-0010-0000-0000-000019000000}" name="Invoice Date" dataDxfId="4"/>
    <tableColumn id="26" xr3:uid="{00000000-0010-0000-0000-00001A000000}" name="Due by" dataDxfId="3">
      <calculatedColumnFormula>IF(InvoiceTable[[#This Row],[Invoice Date]]="","",WORKDAY(InvoiceTable[[#This Row],[Invoice Date]],14))</calculatedColumnFormula>
    </tableColumn>
    <tableColumn id="27" xr3:uid="{00000000-0010-0000-0000-00001B000000}" name="Status" dataDxfId="2"/>
    <tableColumn id="28" xr3:uid="{00000000-0010-0000-0000-00001C000000}" name="Date Paid" dataDxfId="1"/>
    <tableColumn id="29" xr3:uid="{00000000-0010-0000-0000-00001D000000}" name="VAT to Pay" dataDxfId="0">
      <calculatedColumnFormula>InvoiceTable[[#This Row],[Net Amount]]*InvoiceTable[[#This Row],[VAT]]</calculatedColumnFormula>
    </tableColumn>
  </tableColumns>
  <tableStyleInfo name="LG_discree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hyperlink" Target="mailto:Garrett@Rehire.com" TargetMode="External"/><Relationship Id="rId2" Type="http://schemas.openxmlformats.org/officeDocument/2006/relationships/hyperlink" Target="mailto:Crystal.Doyle@Silvrr.com" TargetMode="External"/><Relationship Id="rId1" Type="http://schemas.openxmlformats.org/officeDocument/2006/relationships/hyperlink" Target="mailto:Rmusse@Dasring.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mailto:Phill@Fightrr.com"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9.emf"/><Relationship Id="rId4" Type="http://schemas.openxmlformats.org/officeDocument/2006/relationships/control" Target="../activeX/activeX3.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image" Target="../media/image1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13.emf"/><Relationship Id="rId4" Type="http://schemas.openxmlformats.org/officeDocument/2006/relationships/control" Target="../activeX/activeX5.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6B6E7-EA0A-49FB-80CE-86E516F947A6}">
  <sheetPr codeName="sh0"/>
  <dimension ref="K10:M20"/>
  <sheetViews>
    <sheetView topLeftCell="L10" workbookViewId="0">
      <selection activeCell="Q18" sqref="Q18"/>
    </sheetView>
  </sheetViews>
  <sheetFormatPr defaultRowHeight="14.25" x14ac:dyDescent="0.2"/>
  <cols>
    <col min="1" max="12" width="9" style="73"/>
    <col min="13" max="13" width="92.375" style="73" customWidth="1"/>
    <col min="14" max="16384" width="9" style="73"/>
  </cols>
  <sheetData>
    <row r="10" spans="11:13" ht="26.25" x14ac:dyDescent="0.4">
      <c r="K10" s="72" t="s">
        <v>265</v>
      </c>
    </row>
    <row r="11" spans="11:13" ht="18" x14ac:dyDescent="0.25">
      <c r="K11" s="74" t="s">
        <v>259</v>
      </c>
    </row>
    <row r="12" spans="11:13" ht="18" x14ac:dyDescent="0.25">
      <c r="K12" s="74" t="s">
        <v>257</v>
      </c>
    </row>
    <row r="13" spans="11:13" ht="18" x14ac:dyDescent="0.25">
      <c r="K13" s="74"/>
    </row>
    <row r="14" spans="11:13" ht="15" x14ac:dyDescent="0.25">
      <c r="L14" s="75" t="s">
        <v>252</v>
      </c>
      <c r="M14" s="75" t="s">
        <v>253</v>
      </c>
    </row>
    <row r="15" spans="11:13" x14ac:dyDescent="0.2">
      <c r="L15" s="76">
        <v>1</v>
      </c>
      <c r="M15" s="88" t="s">
        <v>254</v>
      </c>
    </row>
    <row r="16" spans="11:13" ht="28.5" x14ac:dyDescent="0.2">
      <c r="L16" s="76">
        <v>2</v>
      </c>
      <c r="M16" s="88" t="s">
        <v>255</v>
      </c>
    </row>
    <row r="17" spans="12:13" x14ac:dyDescent="0.2">
      <c r="L17" s="76">
        <v>3</v>
      </c>
      <c r="M17" s="90" t="s">
        <v>262</v>
      </c>
    </row>
    <row r="18" spans="12:13" ht="71.25" x14ac:dyDescent="0.2">
      <c r="L18" s="76">
        <v>4</v>
      </c>
      <c r="M18" s="88" t="s">
        <v>263</v>
      </c>
    </row>
    <row r="19" spans="12:13" ht="57" x14ac:dyDescent="0.2">
      <c r="L19" s="76">
        <v>5</v>
      </c>
      <c r="M19" s="88" t="s">
        <v>264</v>
      </c>
    </row>
    <row r="20" spans="12:13" x14ac:dyDescent="0.2">
      <c r="L20" s="76">
        <v>6</v>
      </c>
      <c r="M20" s="90" t="s">
        <v>260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165A3-BD7A-465E-8CE0-BC2AEAF471B8}">
  <sheetPr codeName="shDash"/>
  <dimension ref="C3:O17"/>
  <sheetViews>
    <sheetView topLeftCell="E1" workbookViewId="0">
      <selection activeCell="I22" sqref="I22"/>
    </sheetView>
  </sheetViews>
  <sheetFormatPr defaultRowHeight="14.25" x14ac:dyDescent="0.2"/>
  <cols>
    <col min="1" max="3" width="9" style="11"/>
    <col min="4" max="4" width="39.875" style="11" bestFit="1" customWidth="1"/>
    <col min="5" max="10" width="9" style="11"/>
    <col min="11" max="11" width="32.875" style="11" bestFit="1" customWidth="1"/>
    <col min="12" max="16384" width="9" style="11"/>
  </cols>
  <sheetData>
    <row r="3" spans="3:15" x14ac:dyDescent="0.2">
      <c r="C3" s="78"/>
      <c r="D3" s="77"/>
      <c r="E3" s="77"/>
      <c r="F3" s="77"/>
      <c r="G3" s="77"/>
      <c r="H3" s="77"/>
      <c r="I3" s="77"/>
      <c r="J3" s="77"/>
      <c r="K3" s="77"/>
      <c r="L3" s="77"/>
      <c r="M3" s="77"/>
      <c r="N3" s="77"/>
      <c r="O3" s="82"/>
    </row>
    <row r="4" spans="3:15" x14ac:dyDescent="0.2">
      <c r="C4" s="79"/>
      <c r="D4" s="12"/>
      <c r="E4" s="12"/>
      <c r="F4" s="12"/>
      <c r="G4" s="12"/>
      <c r="H4" s="12"/>
      <c r="I4" s="12"/>
      <c r="J4" s="12"/>
      <c r="K4" s="12"/>
      <c r="L4" s="12"/>
      <c r="M4" s="12"/>
      <c r="N4" s="12"/>
      <c r="O4" s="83"/>
    </row>
    <row r="5" spans="3:15" ht="15" x14ac:dyDescent="0.25">
      <c r="C5" s="79"/>
      <c r="D5" s="85" t="s">
        <v>247</v>
      </c>
      <c r="E5" s="86"/>
      <c r="F5" s="86"/>
      <c r="K5" s="85" t="s">
        <v>256</v>
      </c>
      <c r="L5" s="86"/>
      <c r="M5" s="86"/>
      <c r="O5" s="83"/>
    </row>
    <row r="6" spans="3:15" x14ac:dyDescent="0.2">
      <c r="C6" s="79"/>
      <c r="D6" s="87" t="s">
        <v>248</v>
      </c>
      <c r="E6" s="86"/>
      <c r="F6" s="86"/>
      <c r="K6" s="87" t="s">
        <v>258</v>
      </c>
      <c r="L6" s="86"/>
      <c r="M6" s="86"/>
      <c r="O6" s="83"/>
    </row>
    <row r="7" spans="3:15" x14ac:dyDescent="0.2">
      <c r="C7" s="79"/>
      <c r="D7" s="87" t="s">
        <v>249</v>
      </c>
      <c r="E7" s="86"/>
      <c r="F7" s="86"/>
      <c r="K7" s="87" t="s">
        <v>233</v>
      </c>
      <c r="L7" s="86"/>
      <c r="M7" s="86"/>
      <c r="O7" s="83"/>
    </row>
    <row r="8" spans="3:15" x14ac:dyDescent="0.2">
      <c r="C8" s="79"/>
      <c r="D8" s="87" t="s">
        <v>250</v>
      </c>
      <c r="E8" s="86"/>
      <c r="F8" s="86"/>
      <c r="K8" s="87"/>
      <c r="L8" s="86"/>
      <c r="M8" s="86"/>
      <c r="O8" s="83"/>
    </row>
    <row r="9" spans="3:15" x14ac:dyDescent="0.2">
      <c r="C9" s="79"/>
      <c r="D9" s="87"/>
      <c r="E9" s="86"/>
      <c r="F9" s="86"/>
      <c r="K9" s="86"/>
      <c r="L9" s="86"/>
      <c r="M9" s="86"/>
      <c r="O9" s="83"/>
    </row>
    <row r="10" spans="3:15" x14ac:dyDescent="0.2">
      <c r="C10" s="79"/>
      <c r="D10" s="86"/>
      <c r="E10" s="86"/>
      <c r="F10" s="86"/>
      <c r="K10" s="86"/>
      <c r="L10" s="86"/>
      <c r="M10" s="86"/>
      <c r="O10" s="83"/>
    </row>
    <row r="11" spans="3:15" x14ac:dyDescent="0.2">
      <c r="C11" s="79"/>
      <c r="D11" s="86"/>
      <c r="E11" s="86"/>
      <c r="F11" s="86"/>
      <c r="K11" s="86"/>
      <c r="L11" s="86"/>
      <c r="M11" s="86"/>
      <c r="O11" s="83"/>
    </row>
    <row r="12" spans="3:15" x14ac:dyDescent="0.2">
      <c r="C12" s="79"/>
      <c r="D12" s="86"/>
      <c r="E12" s="86"/>
      <c r="F12" s="86"/>
      <c r="K12" s="86"/>
      <c r="L12" s="86"/>
      <c r="M12" s="86"/>
      <c r="O12" s="83"/>
    </row>
    <row r="13" spans="3:15" x14ac:dyDescent="0.2">
      <c r="C13" s="79"/>
      <c r="D13" s="86"/>
      <c r="E13" s="86"/>
      <c r="F13" s="86"/>
      <c r="K13" s="86"/>
      <c r="L13" s="86"/>
      <c r="M13" s="86"/>
      <c r="O13" s="83"/>
    </row>
    <row r="14" spans="3:15" x14ac:dyDescent="0.2">
      <c r="C14" s="79"/>
      <c r="D14" s="86"/>
      <c r="E14" s="86"/>
      <c r="F14" s="86"/>
      <c r="K14" s="86"/>
      <c r="L14" s="86"/>
      <c r="M14" s="86"/>
      <c r="O14" s="83"/>
    </row>
    <row r="15" spans="3:15" x14ac:dyDescent="0.2">
      <c r="C15" s="79"/>
      <c r="D15" s="86"/>
      <c r="E15" s="86"/>
      <c r="F15" s="86"/>
      <c r="K15" s="86"/>
      <c r="L15" s="86"/>
      <c r="M15" s="86"/>
      <c r="O15" s="83"/>
    </row>
    <row r="16" spans="3:15" x14ac:dyDescent="0.2">
      <c r="C16" s="79"/>
      <c r="D16" s="12"/>
      <c r="E16" s="12"/>
      <c r="F16" s="12"/>
      <c r="G16" s="12"/>
      <c r="H16" s="12"/>
      <c r="I16" s="12"/>
      <c r="J16" s="12"/>
      <c r="K16" s="12"/>
      <c r="L16" s="12"/>
      <c r="M16" s="12"/>
      <c r="N16" s="12"/>
      <c r="O16" s="83"/>
    </row>
    <row r="17" spans="3:15" x14ac:dyDescent="0.2">
      <c r="C17" s="80"/>
      <c r="D17" s="81"/>
      <c r="E17" s="81"/>
      <c r="F17" s="81"/>
      <c r="G17" s="81"/>
      <c r="H17" s="81"/>
      <c r="I17" s="81"/>
      <c r="J17" s="81"/>
      <c r="K17" s="81"/>
      <c r="L17" s="81"/>
      <c r="M17" s="81"/>
      <c r="N17" s="81"/>
      <c r="O17" s="84"/>
    </row>
  </sheetData>
  <pageMargins left="0.7" right="0.7" top="0.75" bottom="0.75" header="0.3" footer="0.3"/>
  <pageSetup orientation="portrait" r:id="rId1"/>
  <drawing r:id="rId2"/>
  <legacyDrawing r:id="rId3"/>
  <controls>
    <mc:AlternateContent xmlns:mc="http://schemas.openxmlformats.org/markup-compatibility/2006">
      <mc:Choice Requires="x14">
        <control shapeId="13320" r:id="rId4" name="EditCustomer">
          <controlPr defaultSize="0" autoLine="0" r:id="rId5">
            <anchor moveWithCells="1">
              <from>
                <xdr:col>10</xdr:col>
                <xdr:colOff>85725</xdr:colOff>
                <xdr:row>10</xdr:row>
                <xdr:rowOff>133350</xdr:rowOff>
              </from>
              <to>
                <xdr:col>10</xdr:col>
                <xdr:colOff>1828800</xdr:colOff>
                <xdr:row>13</xdr:row>
                <xdr:rowOff>57150</xdr:rowOff>
              </to>
            </anchor>
          </controlPr>
        </control>
      </mc:Choice>
      <mc:Fallback>
        <control shapeId="13320" r:id="rId4" name="EditCustomer"/>
      </mc:Fallback>
    </mc:AlternateContent>
    <mc:AlternateContent xmlns:mc="http://schemas.openxmlformats.org/markup-compatibility/2006">
      <mc:Choice Requires="x14">
        <control shapeId="13319" r:id="rId6" name="AddCustomer">
          <controlPr defaultSize="0" autoLine="0" autoPict="0" r:id="rId7">
            <anchor moveWithCells="1">
              <from>
                <xdr:col>10</xdr:col>
                <xdr:colOff>76200</xdr:colOff>
                <xdr:row>7</xdr:row>
                <xdr:rowOff>123825</xdr:rowOff>
              </from>
              <to>
                <xdr:col>10</xdr:col>
                <xdr:colOff>1828800</xdr:colOff>
                <xdr:row>10</xdr:row>
                <xdr:rowOff>47625</xdr:rowOff>
              </to>
            </anchor>
          </controlPr>
        </control>
      </mc:Choice>
      <mc:Fallback>
        <control shapeId="13319" r:id="rId6" name="AddCustomer"/>
      </mc:Fallback>
    </mc:AlternateContent>
    <mc:AlternateContent xmlns:mc="http://schemas.openxmlformats.org/markup-compatibility/2006">
      <mc:Choice Requires="x14">
        <control shapeId="13316" r:id="rId8" name="Button 4">
          <controlPr defaultSize="0" autoFill="0" autoPict="0" macro="[0]!View_Invoices">
            <anchor moveWithCells="1" sizeWithCells="1">
              <from>
                <xdr:col>3</xdr:col>
                <xdr:colOff>2324100</xdr:colOff>
                <xdr:row>9</xdr:row>
                <xdr:rowOff>66675</xdr:rowOff>
              </from>
              <to>
                <xdr:col>5</xdr:col>
                <xdr:colOff>552450</xdr:colOff>
                <xdr:row>13</xdr:row>
                <xdr:rowOff>28575</xdr:rowOff>
              </to>
            </anchor>
          </controlPr>
        </control>
      </mc:Choice>
    </mc:AlternateContent>
    <mc:AlternateContent xmlns:mc="http://schemas.openxmlformats.org/markup-compatibility/2006">
      <mc:Choice Requires="x14">
        <control shapeId="13317" r:id="rId9" name="Button 5">
          <controlPr defaultSize="0" autoFill="0" autoPict="0" macro="[0]!Customer_Master">
            <anchor moveWithCells="1" sizeWithCells="1">
              <from>
                <xdr:col>10</xdr:col>
                <xdr:colOff>1924050</xdr:colOff>
                <xdr:row>7</xdr:row>
                <xdr:rowOff>104775</xdr:rowOff>
              </from>
              <to>
                <xdr:col>12</xdr:col>
                <xdr:colOff>476250</xdr:colOff>
                <xdr:row>10</xdr:row>
                <xdr:rowOff>38100</xdr:rowOff>
              </to>
            </anchor>
          </controlPr>
        </control>
      </mc:Choice>
    </mc:AlternateContent>
    <mc:AlternateContent xmlns:mc="http://schemas.openxmlformats.org/markup-compatibility/2006">
      <mc:Choice Requires="x14">
        <control shapeId="13318" r:id="rId10" name="Button 6">
          <controlPr defaultSize="0" autoFill="0" autoPict="0" macro="[0]!View_Master">
            <anchor moveWithCells="1" sizeWithCells="1">
              <from>
                <xdr:col>10</xdr:col>
                <xdr:colOff>1924050</xdr:colOff>
                <xdr:row>10</xdr:row>
                <xdr:rowOff>114300</xdr:rowOff>
              </from>
              <to>
                <xdr:col>12</xdr:col>
                <xdr:colOff>466725</xdr:colOff>
                <xdr:row>13</xdr:row>
                <xdr:rowOff>57150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Master"/>
  <dimension ref="A1:H35"/>
  <sheetViews>
    <sheetView topLeftCell="A16" zoomScaleNormal="100" workbookViewId="0">
      <selection activeCell="E38" sqref="E38"/>
    </sheetView>
  </sheetViews>
  <sheetFormatPr defaultRowHeight="14.25" x14ac:dyDescent="0.2"/>
  <cols>
    <col min="1" max="1" width="19" style="3" customWidth="1"/>
    <col min="2" max="2" width="22.375" style="3" customWidth="1"/>
    <col min="3" max="3" width="22.5" style="3" customWidth="1"/>
    <col min="4" max="4" width="19.375" style="3" customWidth="1"/>
    <col min="5" max="5" width="15.75" style="3" customWidth="1"/>
    <col min="6" max="6" width="16" style="3" customWidth="1"/>
    <col min="7" max="7" width="9" style="4"/>
    <col min="8" max="8" width="33.875" style="3" customWidth="1"/>
    <col min="9" max="16384" width="9" style="3"/>
  </cols>
  <sheetData>
    <row r="1" spans="1:8" x14ac:dyDescent="0.2">
      <c r="A1" s="89" t="s">
        <v>0</v>
      </c>
      <c r="B1" s="89" t="s">
        <v>2</v>
      </c>
      <c r="C1" s="89" t="s">
        <v>6</v>
      </c>
      <c r="D1" s="89" t="s">
        <v>7</v>
      </c>
      <c r="E1" s="89" t="s">
        <v>8</v>
      </c>
      <c r="F1" s="89" t="s">
        <v>3</v>
      </c>
      <c r="G1" s="89" t="s">
        <v>97</v>
      </c>
      <c r="H1" s="89" t="s">
        <v>154</v>
      </c>
    </row>
    <row r="2" spans="1:8" x14ac:dyDescent="0.2">
      <c r="A2" s="7" t="s">
        <v>155</v>
      </c>
      <c r="B2" s="8" t="s">
        <v>234</v>
      </c>
      <c r="C2" s="7" t="s">
        <v>21</v>
      </c>
      <c r="D2" s="7" t="s">
        <v>22</v>
      </c>
      <c r="E2" s="7" t="s">
        <v>23</v>
      </c>
      <c r="F2" s="7" t="s">
        <v>190</v>
      </c>
      <c r="G2" s="66">
        <v>0.2</v>
      </c>
      <c r="H2" s="7" t="s">
        <v>235</v>
      </c>
    </row>
    <row r="3" spans="1:8" x14ac:dyDescent="0.2">
      <c r="A3" s="7" t="s">
        <v>43</v>
      </c>
      <c r="B3" s="8" t="s">
        <v>9</v>
      </c>
      <c r="C3" s="7" t="s">
        <v>24</v>
      </c>
      <c r="D3" s="7" t="s">
        <v>25</v>
      </c>
      <c r="E3" s="7" t="s">
        <v>26</v>
      </c>
      <c r="F3" s="7"/>
      <c r="G3" s="66">
        <v>0</v>
      </c>
      <c r="H3" s="7" t="s">
        <v>156</v>
      </c>
    </row>
    <row r="4" spans="1:8" x14ac:dyDescent="0.2">
      <c r="A4" s="7" t="s">
        <v>44</v>
      </c>
      <c r="B4" s="8" t="s">
        <v>10</v>
      </c>
      <c r="C4" s="7" t="s">
        <v>27</v>
      </c>
      <c r="D4" s="7" t="s">
        <v>29</v>
      </c>
      <c r="E4" s="7" t="s">
        <v>28</v>
      </c>
      <c r="F4" s="7"/>
      <c r="G4" s="66">
        <v>0</v>
      </c>
      <c r="H4" s="7" t="s">
        <v>157</v>
      </c>
    </row>
    <row r="5" spans="1:8" x14ac:dyDescent="0.2">
      <c r="A5" s="7" t="s">
        <v>121</v>
      </c>
      <c r="B5" s="8" t="s">
        <v>11</v>
      </c>
      <c r="C5" s="7" t="s">
        <v>30</v>
      </c>
      <c r="D5" s="7" t="s">
        <v>32</v>
      </c>
      <c r="E5" s="7" t="s">
        <v>31</v>
      </c>
      <c r="F5" s="7"/>
      <c r="G5" s="66">
        <v>0</v>
      </c>
      <c r="H5" s="7" t="s">
        <v>158</v>
      </c>
    </row>
    <row r="6" spans="1:8" x14ac:dyDescent="0.2">
      <c r="A6" s="7" t="s">
        <v>45</v>
      </c>
      <c r="B6" s="8" t="s">
        <v>12</v>
      </c>
      <c r="C6" s="7" t="s">
        <v>33</v>
      </c>
      <c r="D6" s="7" t="s">
        <v>32</v>
      </c>
      <c r="E6" s="7" t="s">
        <v>31</v>
      </c>
      <c r="F6" s="7" t="s">
        <v>190</v>
      </c>
      <c r="G6" s="66">
        <v>0</v>
      </c>
      <c r="H6" s="7" t="s">
        <v>159</v>
      </c>
    </row>
    <row r="7" spans="1:8" x14ac:dyDescent="0.2">
      <c r="A7" s="7" t="s">
        <v>124</v>
      </c>
      <c r="B7" s="8" t="s">
        <v>13</v>
      </c>
      <c r="C7" s="7" t="s">
        <v>34</v>
      </c>
      <c r="D7" s="7" t="s">
        <v>32</v>
      </c>
      <c r="E7" s="7" t="s">
        <v>31</v>
      </c>
      <c r="F7" s="7"/>
      <c r="G7" s="66">
        <v>0</v>
      </c>
      <c r="H7" s="7" t="s">
        <v>236</v>
      </c>
    </row>
    <row r="8" spans="1:8" x14ac:dyDescent="0.2">
      <c r="A8" s="7" t="s">
        <v>120</v>
      </c>
      <c r="B8" s="8" t="s">
        <v>14</v>
      </c>
      <c r="C8" s="7" t="s">
        <v>35</v>
      </c>
      <c r="D8" s="7" t="s">
        <v>36</v>
      </c>
      <c r="E8" s="7" t="s">
        <v>37</v>
      </c>
      <c r="F8" s="7"/>
      <c r="G8" s="66">
        <v>0</v>
      </c>
      <c r="H8" s="7" t="s">
        <v>237</v>
      </c>
    </row>
    <row r="9" spans="1:8" x14ac:dyDescent="0.2">
      <c r="A9" s="7" t="s">
        <v>46</v>
      </c>
      <c r="B9" s="8" t="s">
        <v>84</v>
      </c>
      <c r="C9" s="7" t="s">
        <v>38</v>
      </c>
      <c r="D9" s="7" t="s">
        <v>40</v>
      </c>
      <c r="E9" s="7" t="s">
        <v>39</v>
      </c>
      <c r="F9" s="7"/>
      <c r="G9" s="66">
        <v>0</v>
      </c>
      <c r="H9" s="7" t="s">
        <v>238</v>
      </c>
    </row>
    <row r="10" spans="1:8" x14ac:dyDescent="0.2">
      <c r="A10" s="7" t="s">
        <v>47</v>
      </c>
      <c r="B10" s="8" t="s">
        <v>85</v>
      </c>
      <c r="C10" s="7" t="s">
        <v>38</v>
      </c>
      <c r="D10" s="7" t="s">
        <v>40</v>
      </c>
      <c r="E10" s="7" t="s">
        <v>39</v>
      </c>
      <c r="F10" s="7"/>
      <c r="G10" s="66">
        <v>0</v>
      </c>
      <c r="H10" s="7" t="s">
        <v>239</v>
      </c>
    </row>
    <row r="11" spans="1:8" x14ac:dyDescent="0.2">
      <c r="A11" s="7" t="s">
        <v>48</v>
      </c>
      <c r="B11" s="8" t="s">
        <v>17</v>
      </c>
      <c r="C11" s="7" t="s">
        <v>77</v>
      </c>
      <c r="D11" s="7" t="s">
        <v>42</v>
      </c>
      <c r="E11" s="7" t="s">
        <v>41</v>
      </c>
      <c r="F11" s="7" t="s">
        <v>190</v>
      </c>
      <c r="G11" s="66">
        <v>0</v>
      </c>
      <c r="H11" s="7" t="s">
        <v>160</v>
      </c>
    </row>
    <row r="12" spans="1:8" x14ac:dyDescent="0.2">
      <c r="A12" s="7" t="s">
        <v>49</v>
      </c>
      <c r="B12" s="8" t="s">
        <v>172</v>
      </c>
      <c r="C12" s="7" t="s">
        <v>95</v>
      </c>
      <c r="D12" s="7" t="s">
        <v>96</v>
      </c>
      <c r="E12" s="7" t="s">
        <v>98</v>
      </c>
      <c r="F12" s="7" t="s">
        <v>116</v>
      </c>
      <c r="G12" s="66">
        <v>0</v>
      </c>
      <c r="H12" s="7" t="s">
        <v>228</v>
      </c>
    </row>
    <row r="13" spans="1:8" x14ac:dyDescent="0.2">
      <c r="A13" s="7" t="s">
        <v>50</v>
      </c>
      <c r="B13" s="8" t="s">
        <v>15</v>
      </c>
      <c r="C13" s="7" t="s">
        <v>101</v>
      </c>
      <c r="D13" s="7" t="s">
        <v>102</v>
      </c>
      <c r="E13" s="7" t="s">
        <v>99</v>
      </c>
      <c r="F13" s="7" t="s">
        <v>190</v>
      </c>
      <c r="G13" s="66">
        <v>0</v>
      </c>
      <c r="H13" s="7" t="s">
        <v>161</v>
      </c>
    </row>
    <row r="14" spans="1:8" x14ac:dyDescent="0.2">
      <c r="A14" s="7" t="s">
        <v>173</v>
      </c>
      <c r="B14" s="8" t="s">
        <v>174</v>
      </c>
      <c r="C14" s="7" t="s">
        <v>175</v>
      </c>
      <c r="D14" s="7" t="s">
        <v>176</v>
      </c>
      <c r="E14" s="7" t="s">
        <v>56</v>
      </c>
      <c r="F14" s="7" t="s">
        <v>177</v>
      </c>
      <c r="G14" s="66">
        <v>0.2</v>
      </c>
      <c r="H14" s="7" t="s">
        <v>229</v>
      </c>
    </row>
    <row r="15" spans="1:8" x14ac:dyDescent="0.2">
      <c r="A15" s="7" t="s">
        <v>51</v>
      </c>
      <c r="B15" s="8" t="s">
        <v>178</v>
      </c>
      <c r="C15" s="7" t="s">
        <v>100</v>
      </c>
      <c r="D15" s="7" t="s">
        <v>179</v>
      </c>
      <c r="E15" s="7" t="s">
        <v>56</v>
      </c>
      <c r="F15" s="7" t="s">
        <v>112</v>
      </c>
      <c r="G15" s="66">
        <v>0.2</v>
      </c>
      <c r="H15" s="7" t="s">
        <v>162</v>
      </c>
    </row>
    <row r="16" spans="1:8" x14ac:dyDescent="0.2">
      <c r="A16" s="7" t="s">
        <v>180</v>
      </c>
      <c r="B16" s="8" t="s">
        <v>181</v>
      </c>
      <c r="C16" s="7" t="s">
        <v>182</v>
      </c>
      <c r="D16" s="7" t="s">
        <v>183</v>
      </c>
      <c r="E16" s="7" t="s">
        <v>99</v>
      </c>
      <c r="F16" s="7" t="s">
        <v>190</v>
      </c>
      <c r="G16" s="66">
        <v>0</v>
      </c>
      <c r="H16" s="7" t="s">
        <v>230</v>
      </c>
    </row>
    <row r="17" spans="1:8" s="7" customFormat="1" x14ac:dyDescent="0.2">
      <c r="A17" s="7" t="s">
        <v>184</v>
      </c>
      <c r="B17" s="8" t="s">
        <v>185</v>
      </c>
      <c r="C17" s="7" t="s">
        <v>186</v>
      </c>
      <c r="D17" s="7" t="s">
        <v>187</v>
      </c>
      <c r="E17" s="7" t="s">
        <v>99</v>
      </c>
      <c r="G17" s="66">
        <v>0</v>
      </c>
      <c r="H17" s="7" t="s">
        <v>231</v>
      </c>
    </row>
    <row r="18" spans="1:8" s="7" customFormat="1" x14ac:dyDescent="0.2">
      <c r="A18" s="7" t="s">
        <v>52</v>
      </c>
      <c r="B18" s="8" t="s">
        <v>16</v>
      </c>
      <c r="C18" s="7" t="s">
        <v>54</v>
      </c>
      <c r="D18" s="7" t="s">
        <v>55</v>
      </c>
      <c r="E18" s="7" t="s">
        <v>56</v>
      </c>
      <c r="F18" s="7" t="s">
        <v>113</v>
      </c>
      <c r="G18" s="66">
        <v>0.2</v>
      </c>
      <c r="H18" s="7" t="s">
        <v>163</v>
      </c>
    </row>
    <row r="19" spans="1:8" s="7" customFormat="1" x14ac:dyDescent="0.2">
      <c r="A19" s="7" t="s">
        <v>92</v>
      </c>
      <c r="B19" s="8" t="s">
        <v>188</v>
      </c>
      <c r="C19" s="7" t="s">
        <v>93</v>
      </c>
      <c r="D19" s="7" t="s">
        <v>94</v>
      </c>
      <c r="E19" s="7" t="s">
        <v>98</v>
      </c>
      <c r="F19" s="7" t="s">
        <v>117</v>
      </c>
      <c r="G19" s="66">
        <v>0.2</v>
      </c>
      <c r="H19" s="7" t="s">
        <v>245</v>
      </c>
    </row>
    <row r="20" spans="1:8" s="7" customFormat="1" x14ac:dyDescent="0.2">
      <c r="A20" s="7" t="s">
        <v>66</v>
      </c>
      <c r="B20" s="8" t="s">
        <v>82</v>
      </c>
      <c r="C20" s="7" t="s">
        <v>59</v>
      </c>
      <c r="D20" s="7" t="s">
        <v>60</v>
      </c>
      <c r="E20" s="7" t="s">
        <v>56</v>
      </c>
      <c r="F20" s="7" t="s">
        <v>114</v>
      </c>
      <c r="G20" s="66">
        <v>0.2</v>
      </c>
      <c r="H20" s="7" t="s">
        <v>240</v>
      </c>
    </row>
    <row r="21" spans="1:8" s="7" customFormat="1" x14ac:dyDescent="0.2">
      <c r="A21" s="7" t="s">
        <v>123</v>
      </c>
      <c r="B21" s="8" t="s">
        <v>17</v>
      </c>
      <c r="C21" s="7" t="s">
        <v>90</v>
      </c>
      <c r="D21" s="7" t="s">
        <v>91</v>
      </c>
      <c r="E21" s="7" t="s">
        <v>98</v>
      </c>
      <c r="F21" s="7" t="s">
        <v>119</v>
      </c>
      <c r="G21" s="66">
        <v>0.2</v>
      </c>
      <c r="H21" s="7" t="s">
        <v>164</v>
      </c>
    </row>
    <row r="22" spans="1:8" s="7" customFormat="1" x14ac:dyDescent="0.2">
      <c r="A22" s="7" t="s">
        <v>53</v>
      </c>
      <c r="B22" s="9" t="s">
        <v>18</v>
      </c>
      <c r="C22" s="7" t="s">
        <v>57</v>
      </c>
      <c r="D22" s="7" t="s">
        <v>58</v>
      </c>
      <c r="E22" s="7" t="s">
        <v>56</v>
      </c>
      <c r="F22" s="7" t="s">
        <v>115</v>
      </c>
      <c r="G22" s="66">
        <v>0.2</v>
      </c>
      <c r="H22" s="7" t="s">
        <v>165</v>
      </c>
    </row>
    <row r="23" spans="1:8" s="7" customFormat="1" x14ac:dyDescent="0.2">
      <c r="A23" s="7" t="s">
        <v>67</v>
      </c>
      <c r="B23" s="8" t="s">
        <v>83</v>
      </c>
      <c r="C23" s="7" t="s">
        <v>68</v>
      </c>
      <c r="D23" s="7" t="s">
        <v>70</v>
      </c>
      <c r="E23" s="7" t="s">
        <v>69</v>
      </c>
      <c r="F23" s="7" t="s">
        <v>103</v>
      </c>
      <c r="G23" s="66">
        <v>0.19</v>
      </c>
      <c r="H23" s="7" t="s">
        <v>166</v>
      </c>
    </row>
    <row r="24" spans="1:8" s="7" customFormat="1" x14ac:dyDescent="0.2">
      <c r="A24" s="3" t="s">
        <v>76</v>
      </c>
      <c r="B24" s="6" t="s">
        <v>189</v>
      </c>
      <c r="C24" s="3" t="s">
        <v>68</v>
      </c>
      <c r="D24" s="3" t="s">
        <v>70</v>
      </c>
      <c r="E24" s="3" t="s">
        <v>69</v>
      </c>
      <c r="F24" s="3" t="s">
        <v>104</v>
      </c>
      <c r="G24" s="67">
        <v>0.19</v>
      </c>
      <c r="H24" s="3" t="s">
        <v>167</v>
      </c>
    </row>
    <row r="25" spans="1:8" s="7" customFormat="1" x14ac:dyDescent="0.2">
      <c r="A25" s="3" t="s">
        <v>71</v>
      </c>
      <c r="B25" s="6" t="s">
        <v>19</v>
      </c>
      <c r="C25" s="3" t="s">
        <v>72</v>
      </c>
      <c r="D25" s="3" t="s">
        <v>73</v>
      </c>
      <c r="E25" s="3" t="s">
        <v>69</v>
      </c>
      <c r="F25" s="3" t="s">
        <v>105</v>
      </c>
      <c r="G25" s="67">
        <v>0.19</v>
      </c>
      <c r="H25" s="3" t="s">
        <v>168</v>
      </c>
    </row>
    <row r="26" spans="1:8" s="7" customFormat="1" x14ac:dyDescent="0.2">
      <c r="A26" s="3" t="s">
        <v>75</v>
      </c>
      <c r="B26" s="6" t="s">
        <v>20</v>
      </c>
      <c r="C26" s="3" t="s">
        <v>74</v>
      </c>
      <c r="D26" s="3" t="s">
        <v>73</v>
      </c>
      <c r="E26" s="3" t="s">
        <v>69</v>
      </c>
      <c r="F26" s="3" t="s">
        <v>106</v>
      </c>
      <c r="G26" s="67">
        <v>0.19</v>
      </c>
      <c r="H26" s="3" t="s">
        <v>169</v>
      </c>
    </row>
    <row r="27" spans="1:8" s="7" customFormat="1" x14ac:dyDescent="0.2">
      <c r="A27" s="3" t="s">
        <v>122</v>
      </c>
      <c r="B27" s="6" t="s">
        <v>87</v>
      </c>
      <c r="C27" s="3" t="s">
        <v>88</v>
      </c>
      <c r="D27" s="3" t="s">
        <v>89</v>
      </c>
      <c r="E27" s="3" t="s">
        <v>98</v>
      </c>
      <c r="F27" s="3" t="s">
        <v>118</v>
      </c>
      <c r="G27" s="67">
        <v>0.19</v>
      </c>
      <c r="H27" s="3" t="s">
        <v>246</v>
      </c>
    </row>
    <row r="28" spans="1:8" s="7" customFormat="1" x14ac:dyDescent="0.2">
      <c r="A28" s="3" t="s">
        <v>61</v>
      </c>
      <c r="B28" s="3" t="s">
        <v>78</v>
      </c>
      <c r="C28" s="3" t="s">
        <v>59</v>
      </c>
      <c r="D28" s="3" t="s">
        <v>60</v>
      </c>
      <c r="E28" s="3" t="s">
        <v>56</v>
      </c>
      <c r="F28" s="3" t="s">
        <v>109</v>
      </c>
      <c r="G28" s="67">
        <v>0.2</v>
      </c>
      <c r="H28" s="3" t="s">
        <v>241</v>
      </c>
    </row>
    <row r="29" spans="1:8" x14ac:dyDescent="0.2">
      <c r="A29" s="3" t="s">
        <v>62</v>
      </c>
      <c r="B29" s="3" t="s">
        <v>79</v>
      </c>
      <c r="C29" s="3" t="s">
        <v>59</v>
      </c>
      <c r="D29" s="3" t="s">
        <v>60</v>
      </c>
      <c r="E29" s="3" t="s">
        <v>56</v>
      </c>
      <c r="F29" s="3" t="s">
        <v>110</v>
      </c>
      <c r="G29" s="67">
        <v>0.2</v>
      </c>
      <c r="H29" s="3" t="s">
        <v>242</v>
      </c>
    </row>
    <row r="30" spans="1:8" x14ac:dyDescent="0.2">
      <c r="A30" s="3" t="s">
        <v>63</v>
      </c>
      <c r="B30" s="3" t="s">
        <v>80</v>
      </c>
      <c r="C30" s="3" t="s">
        <v>59</v>
      </c>
      <c r="D30" s="3" t="s">
        <v>60</v>
      </c>
      <c r="E30" s="3" t="s">
        <v>56</v>
      </c>
      <c r="F30" s="3" t="s">
        <v>111</v>
      </c>
      <c r="G30" s="67">
        <v>0.2</v>
      </c>
      <c r="H30" s="3" t="s">
        <v>243</v>
      </c>
    </row>
    <row r="31" spans="1:8" x14ac:dyDescent="0.2">
      <c r="A31" s="3" t="s">
        <v>64</v>
      </c>
      <c r="B31" s="3" t="s">
        <v>81</v>
      </c>
      <c r="C31" s="3" t="s">
        <v>59</v>
      </c>
      <c r="D31" s="3" t="s">
        <v>60</v>
      </c>
      <c r="E31" s="3" t="s">
        <v>56</v>
      </c>
      <c r="F31" s="3" t="s">
        <v>107</v>
      </c>
      <c r="G31" s="67">
        <v>0.2</v>
      </c>
      <c r="H31" s="3" t="s">
        <v>244</v>
      </c>
    </row>
    <row r="32" spans="1:8" x14ac:dyDescent="0.2">
      <c r="A32" s="3" t="s">
        <v>65</v>
      </c>
      <c r="B32" s="3" t="s">
        <v>16</v>
      </c>
      <c r="C32" s="3" t="s">
        <v>54</v>
      </c>
      <c r="D32" s="3" t="s">
        <v>55</v>
      </c>
      <c r="E32" s="3" t="s">
        <v>56</v>
      </c>
      <c r="F32" s="3" t="s">
        <v>108</v>
      </c>
      <c r="G32" s="67">
        <v>0.2</v>
      </c>
      <c r="H32" s="3" t="s">
        <v>170</v>
      </c>
    </row>
    <row r="33" spans="1:7" x14ac:dyDescent="0.2">
      <c r="A33"/>
      <c r="G33" s="67"/>
    </row>
    <row r="34" spans="1:7" x14ac:dyDescent="0.2">
      <c r="G34" s="67"/>
    </row>
    <row r="35" spans="1:7" x14ac:dyDescent="0.2">
      <c r="G35" s="67"/>
    </row>
  </sheetData>
  <hyperlinks>
    <hyperlink ref="H14" r:id="rId1" xr:uid="{00000000-0004-0000-0300-000000000000}"/>
    <hyperlink ref="H13" r:id="rId2" xr:uid="{00000000-0004-0000-0300-000001000000}"/>
    <hyperlink ref="H16" r:id="rId3" xr:uid="{00000000-0004-0000-0300-000002000000}"/>
    <hyperlink ref="H17" r:id="rId4" xr:uid="{00000000-0004-0000-0300-000003000000}"/>
  </hyperlinks>
  <pageMargins left="0.7" right="0.7" top="0.75" bottom="0.75" header="0.3" footer="0.3"/>
  <pageSetup paperSize="9" orientation="portrait" horizontalDpi="4294967295" verticalDpi="4294967295" r:id="rId5"/>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Invoice">
    <tabColor theme="2" tint="-0.499984740745262"/>
  </sheetPr>
  <dimension ref="A1:AW274"/>
  <sheetViews>
    <sheetView showGridLines="0" tabSelected="1" workbookViewId="0">
      <pane xSplit="3" ySplit="7" topLeftCell="S32" activePane="bottomRight" state="frozen"/>
      <selection pane="topRight" activeCell="D1" sqref="D1"/>
      <selection pane="bottomLeft" activeCell="A8" sqref="A8"/>
      <selection pane="bottomRight" activeCell="Z38" sqref="Z38"/>
    </sheetView>
  </sheetViews>
  <sheetFormatPr defaultColWidth="8.875" defaultRowHeight="14.25" outlineLevelCol="1" x14ac:dyDescent="0.2"/>
  <cols>
    <col min="1" max="1" width="2.5" style="30" customWidth="1"/>
    <col min="2" max="2" width="19.25" style="30" customWidth="1"/>
    <col min="3" max="3" width="18.125" style="30" customWidth="1"/>
    <col min="4" max="4" width="37.875" style="30" customWidth="1" outlineLevel="1"/>
    <col min="5" max="5" width="38.75" style="30" customWidth="1" outlineLevel="1"/>
    <col min="6" max="6" width="16" style="30" customWidth="1" outlineLevel="1"/>
    <col min="7" max="7" width="14.25" style="30" customWidth="1" outlineLevel="1"/>
    <col min="8" max="8" width="9" style="62" customWidth="1" outlineLevel="1"/>
    <col min="9" max="9" width="19.125" style="30" bestFit="1" customWidth="1"/>
    <col min="10" max="10" width="22.625" style="30" bestFit="1" customWidth="1"/>
    <col min="11" max="11" width="15.375" style="63" customWidth="1"/>
    <col min="12" max="12" width="16.75" style="30" customWidth="1"/>
    <col min="13" max="13" width="13" style="30" customWidth="1"/>
    <col min="14" max="14" width="15.375" style="63" customWidth="1"/>
    <col min="15" max="15" width="16.75" style="30" customWidth="1" outlineLevel="1"/>
    <col min="16" max="16" width="12.375" style="30" customWidth="1" outlineLevel="1"/>
    <col min="17" max="17" width="15.375" style="63" customWidth="1" outlineLevel="1" collapsed="1"/>
    <col min="18" max="18" width="14.25" style="30" customWidth="1"/>
    <col min="19" max="19" width="13.375" style="30" customWidth="1"/>
    <col min="20" max="20" width="13.25" style="30" customWidth="1"/>
    <col min="21" max="21" width="15.25" style="30" customWidth="1"/>
    <col min="22" max="22" width="12.375" style="22" customWidth="1"/>
    <col min="23" max="23" width="16.125" style="30" customWidth="1"/>
    <col min="24" max="27" width="12.375" style="30" customWidth="1"/>
    <col min="28" max="28" width="4.375" style="30" customWidth="1"/>
    <col min="29" max="16384" width="8.875" style="30"/>
  </cols>
  <sheetData>
    <row r="1" spans="1:49" x14ac:dyDescent="0.2">
      <c r="A1" s="26"/>
      <c r="B1" s="26"/>
      <c r="C1" s="26"/>
      <c r="D1" s="26"/>
      <c r="E1" s="26"/>
      <c r="F1" s="27"/>
      <c r="G1" s="27"/>
      <c r="H1" s="27"/>
      <c r="I1" s="27"/>
      <c r="J1" s="27"/>
      <c r="K1" s="28"/>
      <c r="L1" s="26"/>
      <c r="M1" s="26"/>
      <c r="N1" s="28"/>
      <c r="O1" s="26"/>
      <c r="P1" s="26"/>
      <c r="Q1" s="28"/>
      <c r="R1" s="26"/>
      <c r="S1" s="26"/>
      <c r="T1" s="26"/>
      <c r="U1" s="29"/>
      <c r="V1" s="26"/>
      <c r="W1" s="26"/>
      <c r="X1" s="26"/>
      <c r="Y1" s="26"/>
      <c r="Z1" s="26"/>
      <c r="AA1" s="26"/>
      <c r="AB1" s="26"/>
      <c r="AC1" s="26"/>
    </row>
    <row r="2" spans="1:49" x14ac:dyDescent="0.2">
      <c r="A2" s="26"/>
      <c r="B2" s="26"/>
      <c r="C2" s="26"/>
      <c r="D2" s="27"/>
      <c r="E2" s="27"/>
      <c r="F2" s="27"/>
      <c r="G2" s="27"/>
      <c r="H2" s="27"/>
      <c r="I2" s="27"/>
      <c r="J2" s="27"/>
      <c r="K2" s="28"/>
      <c r="L2" s="26"/>
      <c r="M2" s="26"/>
      <c r="N2" s="28"/>
      <c r="O2" s="26"/>
      <c r="P2" s="26"/>
      <c r="Q2" s="28"/>
      <c r="R2" s="26"/>
      <c r="S2" s="26"/>
      <c r="T2" s="26"/>
      <c r="U2" s="29"/>
      <c r="V2" s="26"/>
      <c r="W2" s="26"/>
      <c r="X2" s="26"/>
      <c r="Y2" s="26"/>
      <c r="Z2" s="26"/>
      <c r="AA2" s="26"/>
      <c r="AB2" s="26"/>
      <c r="AC2" s="26"/>
    </row>
    <row r="3" spans="1:49" x14ac:dyDescent="0.2">
      <c r="A3" s="26"/>
      <c r="B3" s="26"/>
      <c r="C3" s="26"/>
      <c r="D3" s="27"/>
      <c r="E3" s="27"/>
      <c r="F3" s="27"/>
      <c r="G3" s="27"/>
      <c r="H3" s="27"/>
      <c r="I3" s="27"/>
      <c r="J3" s="27"/>
      <c r="K3" s="28"/>
      <c r="L3" s="26"/>
      <c r="M3" s="26"/>
      <c r="N3" s="28"/>
      <c r="O3" s="26"/>
      <c r="P3" s="26"/>
      <c r="Q3" s="28"/>
      <c r="R3" s="26"/>
      <c r="S3" s="26"/>
      <c r="T3" s="26"/>
      <c r="U3" s="29"/>
      <c r="V3" s="26"/>
      <c r="W3" s="26"/>
      <c r="X3" s="26"/>
      <c r="Y3" s="26"/>
      <c r="Z3" s="26"/>
      <c r="AA3" s="26"/>
      <c r="AB3" s="26"/>
      <c r="AC3" s="26"/>
    </row>
    <row r="4" spans="1:49" s="33" customFormat="1" x14ac:dyDescent="0.2">
      <c r="A4" s="27"/>
      <c r="B4" s="27"/>
      <c r="C4" s="27"/>
      <c r="D4" s="27"/>
      <c r="E4" s="27"/>
      <c r="F4" s="27"/>
      <c r="G4" s="27"/>
      <c r="H4" s="27"/>
      <c r="I4" s="27"/>
      <c r="J4" s="27"/>
      <c r="K4" s="31"/>
      <c r="L4" s="27"/>
      <c r="M4" s="27"/>
      <c r="N4" s="31"/>
      <c r="O4" s="27"/>
      <c r="P4" s="27"/>
      <c r="Q4" s="31"/>
      <c r="R4" s="27"/>
      <c r="S4" s="27"/>
      <c r="T4" s="27"/>
      <c r="U4" s="32"/>
      <c r="V4" s="27"/>
      <c r="W4" s="27"/>
      <c r="X4" s="27"/>
      <c r="Y4" s="27"/>
      <c r="Z4" s="27"/>
      <c r="AA4" s="27"/>
      <c r="AB4" s="27"/>
      <c r="AC4" s="27"/>
    </row>
    <row r="5" spans="1:49" s="34" customFormat="1" ht="21" customHeight="1" x14ac:dyDescent="0.2">
      <c r="K5" s="35"/>
      <c r="N5" s="35"/>
      <c r="Q5" s="35"/>
      <c r="U5" s="23"/>
    </row>
    <row r="6" spans="1:49" s="34" customFormat="1" x14ac:dyDescent="0.2">
      <c r="K6" s="35"/>
      <c r="N6" s="35"/>
      <c r="Q6" s="35"/>
      <c r="U6" s="23"/>
    </row>
    <row r="7" spans="1:49" s="36" customFormat="1" ht="30.75" thickBot="1" x14ac:dyDescent="0.3">
      <c r="B7" s="37" t="s">
        <v>0</v>
      </c>
      <c r="C7" s="37" t="s">
        <v>2</v>
      </c>
      <c r="D7" s="38" t="s">
        <v>6</v>
      </c>
      <c r="E7" s="38" t="s">
        <v>7</v>
      </c>
      <c r="F7" s="38" t="s">
        <v>8</v>
      </c>
      <c r="G7" s="38" t="s">
        <v>3</v>
      </c>
      <c r="H7" s="39" t="s">
        <v>97</v>
      </c>
      <c r="I7" s="37" t="s">
        <v>137</v>
      </c>
      <c r="J7" s="37" t="s">
        <v>148</v>
      </c>
      <c r="K7" s="40" t="s">
        <v>149</v>
      </c>
      <c r="L7" s="37" t="s">
        <v>138</v>
      </c>
      <c r="M7" s="37" t="s">
        <v>150</v>
      </c>
      <c r="N7" s="40" t="s">
        <v>151</v>
      </c>
      <c r="O7" s="37" t="s">
        <v>139</v>
      </c>
      <c r="P7" s="37" t="s">
        <v>152</v>
      </c>
      <c r="Q7" s="40" t="s">
        <v>153</v>
      </c>
      <c r="R7" s="37" t="s">
        <v>142</v>
      </c>
      <c r="S7" s="37" t="s">
        <v>4</v>
      </c>
      <c r="T7" s="37" t="s">
        <v>5</v>
      </c>
      <c r="U7" s="40" t="s">
        <v>140</v>
      </c>
      <c r="V7" s="37" t="s">
        <v>1</v>
      </c>
      <c r="W7" s="37" t="s">
        <v>141</v>
      </c>
      <c r="X7" s="37" t="s">
        <v>143</v>
      </c>
      <c r="Y7" s="37" t="s">
        <v>147</v>
      </c>
      <c r="Z7" s="37" t="s">
        <v>145</v>
      </c>
      <c r="AA7" s="37" t="s">
        <v>146</v>
      </c>
    </row>
    <row r="8" spans="1:49" x14ac:dyDescent="0.2">
      <c r="B8" s="41" t="s">
        <v>66</v>
      </c>
      <c r="C8" s="33" t="s">
        <v>82</v>
      </c>
      <c r="D8" s="42" t="s">
        <v>59</v>
      </c>
      <c r="E8" s="42" t="s">
        <v>60</v>
      </c>
      <c r="F8" s="42" t="s">
        <v>56</v>
      </c>
      <c r="G8" s="42" t="s">
        <v>114</v>
      </c>
      <c r="H8" s="69">
        <v>0.2</v>
      </c>
      <c r="I8" s="20" t="s">
        <v>206</v>
      </c>
      <c r="J8" s="21" t="s">
        <v>191</v>
      </c>
      <c r="K8" s="22">
        <v>3500</v>
      </c>
      <c r="L8" s="20"/>
      <c r="M8" s="20"/>
      <c r="N8" s="22"/>
      <c r="O8" s="20"/>
      <c r="P8" s="20"/>
      <c r="Q8" s="22"/>
      <c r="R8" s="10">
        <f>InvoiceTable[[#This Row],[Amount Line 1]]+InvoiceTable[[#This Row],[Amount Line 2]]+InvoiceTable[[#This Row],[Amount Line 3]]</f>
        <v>3500</v>
      </c>
      <c r="S8" s="44">
        <v>281.8</v>
      </c>
      <c r="T8" s="43">
        <f>InvoiceTable[[#This Row],[Agreed Amount Total]]+InvoiceTable[[#This Row],[Additional Expenses]]</f>
        <v>3781.8</v>
      </c>
      <c r="U8" s="43">
        <f>InvoiceTable[[#This Row],[Net Amount]]+InvoiceTable[[#This Row],[VAT to Pay]]</f>
        <v>4538.16</v>
      </c>
      <c r="V8" s="64">
        <v>15040</v>
      </c>
      <c r="W8" s="45">
        <v>42804</v>
      </c>
      <c r="X8" s="46">
        <f>IF(InvoiceTable[[#This Row],[Invoice Date]]="","",WORKDAY(InvoiceTable[[#This Row],[Invoice Date]],14))</f>
        <v>42824</v>
      </c>
      <c r="Y8" s="20"/>
      <c r="Z8" s="47">
        <v>42819</v>
      </c>
      <c r="AA8" s="43">
        <f>InvoiceTable[[#This Row],[Net Amount]]*InvoiceTable[[#This Row],[VAT]]</f>
        <v>756.36000000000013</v>
      </c>
      <c r="AB8" s="20"/>
      <c r="AC8" s="20"/>
      <c r="AD8" s="20"/>
      <c r="AE8" s="20"/>
      <c r="AF8" s="20"/>
      <c r="AG8" s="20"/>
      <c r="AH8" s="20"/>
      <c r="AI8" s="20"/>
      <c r="AJ8" s="20"/>
      <c r="AK8" s="20"/>
      <c r="AL8" s="20"/>
      <c r="AM8" s="20"/>
      <c r="AN8" s="20"/>
      <c r="AO8" s="20"/>
      <c r="AP8" s="20"/>
      <c r="AQ8" s="20"/>
      <c r="AR8" s="20"/>
      <c r="AS8" s="20"/>
      <c r="AT8" s="20"/>
      <c r="AU8" s="20"/>
      <c r="AV8" s="20"/>
    </row>
    <row r="9" spans="1:49" x14ac:dyDescent="0.2">
      <c r="B9" s="30" t="s">
        <v>45</v>
      </c>
      <c r="C9" s="48" t="s">
        <v>12</v>
      </c>
      <c r="D9" s="42" t="s">
        <v>33</v>
      </c>
      <c r="E9" s="42" t="s">
        <v>32</v>
      </c>
      <c r="F9" s="42" t="s">
        <v>31</v>
      </c>
      <c r="G9" s="42"/>
      <c r="H9" s="69">
        <v>0</v>
      </c>
      <c r="I9" s="20" t="s">
        <v>207</v>
      </c>
      <c r="J9" s="21" t="s">
        <v>192</v>
      </c>
      <c r="K9" s="22">
        <v>3500</v>
      </c>
      <c r="L9" s="20"/>
      <c r="M9" s="20"/>
      <c r="N9" s="22"/>
      <c r="O9" s="20"/>
      <c r="P9" s="20"/>
      <c r="Q9" s="22"/>
      <c r="R9" s="10">
        <f>InvoiceTable[[#This Row],[Amount Line 1]]+InvoiceTable[[#This Row],[Amount Line 2]]+InvoiceTable[[#This Row],[Amount Line 3]]</f>
        <v>3500</v>
      </c>
      <c r="S9" s="44">
        <v>261.25</v>
      </c>
      <c r="T9" s="43">
        <f>InvoiceTable[[#This Row],[Agreed Amount Total]]+InvoiceTable[[#This Row],[Additional Expenses]]</f>
        <v>3761.25</v>
      </c>
      <c r="U9" s="43">
        <f>InvoiceTable[[#This Row],[Net Amount]]+InvoiceTable[[#This Row],[VAT to Pay]]</f>
        <v>3761.25</v>
      </c>
      <c r="V9" s="64">
        <v>15041</v>
      </c>
      <c r="W9" s="45">
        <v>42804</v>
      </c>
      <c r="X9" s="46">
        <f>IF(InvoiceTable[[#This Row],[Invoice Date]]="","",WORKDAY(InvoiceTable[[#This Row],[Invoice Date]],14))</f>
        <v>42824</v>
      </c>
      <c r="Y9" s="20" t="s">
        <v>144</v>
      </c>
      <c r="Z9" s="47">
        <v>42819</v>
      </c>
      <c r="AA9" s="43">
        <f>InvoiceTable[[#This Row],[Net Amount]]*InvoiceTable[[#This Row],[VAT]]</f>
        <v>0</v>
      </c>
      <c r="AB9" s="20"/>
      <c r="AC9" s="20"/>
      <c r="AD9" s="20"/>
      <c r="AE9" s="20"/>
      <c r="AF9" s="20"/>
      <c r="AG9" s="20"/>
      <c r="AH9" s="20"/>
      <c r="AI9" s="20"/>
      <c r="AJ9" s="20"/>
      <c r="AK9" s="20"/>
      <c r="AL9" s="20"/>
      <c r="AM9" s="20"/>
      <c r="AN9" s="20"/>
      <c r="AO9" s="20"/>
      <c r="AP9" s="20"/>
      <c r="AQ9" s="20"/>
      <c r="AR9" s="20"/>
      <c r="AS9" s="20"/>
      <c r="AT9" s="20"/>
      <c r="AU9" s="20"/>
      <c r="AV9" s="20"/>
    </row>
    <row r="10" spans="1:49" x14ac:dyDescent="0.2">
      <c r="B10" s="30" t="s">
        <v>43</v>
      </c>
      <c r="C10" s="48" t="s">
        <v>9</v>
      </c>
      <c r="D10" s="42" t="s">
        <v>24</v>
      </c>
      <c r="E10" s="42" t="s">
        <v>25</v>
      </c>
      <c r="F10" s="42" t="s">
        <v>26</v>
      </c>
      <c r="G10" s="42"/>
      <c r="H10" s="70">
        <v>0</v>
      </c>
      <c r="I10" s="20" t="s">
        <v>209</v>
      </c>
      <c r="J10" s="21" t="s">
        <v>193</v>
      </c>
      <c r="K10" s="22">
        <v>840</v>
      </c>
      <c r="L10" s="20"/>
      <c r="M10" s="20"/>
      <c r="N10" s="22"/>
      <c r="O10" s="20"/>
      <c r="P10" s="20"/>
      <c r="Q10" s="22"/>
      <c r="R10" s="10">
        <f>InvoiceTable[[#This Row],[Amount Line 1]]+InvoiceTable[[#This Row],[Amount Line 2]]+InvoiceTable[[#This Row],[Amount Line 3]]</f>
        <v>840</v>
      </c>
      <c r="S10" s="44">
        <v>0</v>
      </c>
      <c r="T10" s="43">
        <v>43090</v>
      </c>
      <c r="U10" s="43">
        <f>InvoiceTable[[#This Row],[Net Amount]]+InvoiceTable[[#This Row],[VAT to Pay]]</f>
        <v>43090</v>
      </c>
      <c r="V10" s="64">
        <v>15042</v>
      </c>
      <c r="W10" s="45">
        <v>42817</v>
      </c>
      <c r="X10" s="46">
        <f>IF(InvoiceTable[[#This Row],[Invoice Date]]="","",WORKDAY(InvoiceTable[[#This Row],[Invoice Date]],14))</f>
        <v>42837</v>
      </c>
      <c r="Y10" s="20" t="s">
        <v>144</v>
      </c>
      <c r="Z10" s="47">
        <v>42833</v>
      </c>
      <c r="AA10" s="43">
        <f>InvoiceTable[[#This Row],[Net Amount]]*InvoiceTable[[#This Row],[VAT]]</f>
        <v>0</v>
      </c>
      <c r="AB10" s="20"/>
      <c r="AC10" s="20"/>
      <c r="AD10" s="20"/>
      <c r="AE10" s="20"/>
      <c r="AF10" s="20"/>
      <c r="AG10" s="20"/>
      <c r="AH10" s="20"/>
      <c r="AI10" s="20"/>
      <c r="AJ10" s="20"/>
      <c r="AK10" s="20"/>
      <c r="AL10" s="20"/>
      <c r="AM10" s="20"/>
      <c r="AN10" s="20"/>
      <c r="AO10" s="20"/>
      <c r="AP10" s="20"/>
      <c r="AQ10" s="20"/>
      <c r="AR10" s="20"/>
      <c r="AS10" s="20"/>
      <c r="AT10" s="20"/>
      <c r="AU10" s="20"/>
      <c r="AV10" s="20"/>
    </row>
    <row r="11" spans="1:49" x14ac:dyDescent="0.2">
      <c r="B11" s="30" t="s">
        <v>62</v>
      </c>
      <c r="C11" s="33" t="s">
        <v>79</v>
      </c>
      <c r="D11" s="42" t="s">
        <v>59</v>
      </c>
      <c r="E11" s="42" t="s">
        <v>60</v>
      </c>
      <c r="F11" s="42" t="s">
        <v>56</v>
      </c>
      <c r="G11" s="42" t="s">
        <v>110</v>
      </c>
      <c r="H11" s="69">
        <v>0.2</v>
      </c>
      <c r="I11" s="20" t="s">
        <v>210</v>
      </c>
      <c r="J11" s="21" t="s">
        <v>194</v>
      </c>
      <c r="K11" s="22">
        <v>4500</v>
      </c>
      <c r="L11" s="20"/>
      <c r="M11" s="20"/>
      <c r="N11" s="22"/>
      <c r="O11" s="20"/>
      <c r="P11" s="20"/>
      <c r="Q11" s="22"/>
      <c r="R11" s="10">
        <f>InvoiceTable[[#This Row],[Amount Line 1]]+InvoiceTable[[#This Row],[Amount Line 2]]+InvoiceTable[[#This Row],[Amount Line 3]]</f>
        <v>4500</v>
      </c>
      <c r="S11" s="44">
        <v>0</v>
      </c>
      <c r="T11" s="43">
        <f>InvoiceTable[[#This Row],[Agreed Amount Total]]+InvoiceTable[[#This Row],[Additional Expenses]]</f>
        <v>4500</v>
      </c>
      <c r="U11" s="43">
        <f>InvoiceTable[[#This Row],[Net Amount]]+InvoiceTable[[#This Row],[VAT to Pay]]</f>
        <v>5400</v>
      </c>
      <c r="V11" s="64">
        <v>15043</v>
      </c>
      <c r="W11" s="45">
        <v>42817</v>
      </c>
      <c r="X11" s="46">
        <f>IF(InvoiceTable[[#This Row],[Invoice Date]]="","",WORKDAY(InvoiceTable[[#This Row],[Invoice Date]],14))</f>
        <v>42837</v>
      </c>
      <c r="Y11" s="20" t="s">
        <v>144</v>
      </c>
      <c r="Z11" s="47">
        <v>42833</v>
      </c>
      <c r="AA11" s="43">
        <f>InvoiceTable[[#This Row],[Net Amount]]*InvoiceTable[[#This Row],[VAT]]</f>
        <v>900</v>
      </c>
      <c r="AB11" s="20"/>
      <c r="AC11" s="20"/>
      <c r="AD11" s="20"/>
      <c r="AE11" s="20"/>
      <c r="AF11" s="20"/>
      <c r="AG11" s="20"/>
      <c r="AH11" s="20"/>
      <c r="AI11" s="20"/>
      <c r="AJ11" s="20"/>
      <c r="AK11" s="20"/>
      <c r="AL11" s="20"/>
      <c r="AM11" s="20"/>
      <c r="AN11" s="20"/>
      <c r="AO11" s="20"/>
      <c r="AP11" s="20"/>
      <c r="AQ11" s="20"/>
      <c r="AR11" s="20"/>
      <c r="AS11" s="20"/>
      <c r="AT11" s="20"/>
      <c r="AU11" s="20"/>
      <c r="AV11" s="20"/>
    </row>
    <row r="12" spans="1:49" x14ac:dyDescent="0.2">
      <c r="B12" s="30" t="s">
        <v>64</v>
      </c>
      <c r="C12" s="33" t="s">
        <v>81</v>
      </c>
      <c r="D12" s="42" t="s">
        <v>59</v>
      </c>
      <c r="E12" s="42" t="s">
        <v>60</v>
      </c>
      <c r="F12" s="42" t="s">
        <v>56</v>
      </c>
      <c r="G12" s="42" t="s">
        <v>107</v>
      </c>
      <c r="H12" s="69">
        <v>0.2</v>
      </c>
      <c r="I12" s="20" t="s">
        <v>211</v>
      </c>
      <c r="J12" s="21" t="s">
        <v>195</v>
      </c>
      <c r="K12" s="22">
        <v>2100</v>
      </c>
      <c r="L12" s="20"/>
      <c r="M12" s="20"/>
      <c r="N12" s="22"/>
      <c r="O12" s="20"/>
      <c r="P12" s="20"/>
      <c r="Q12" s="22"/>
      <c r="R12" s="10">
        <f>InvoiceTable[[#This Row],[Amount Line 1]]+InvoiceTable[[#This Row],[Amount Line 2]]+InvoiceTable[[#This Row],[Amount Line 3]]</f>
        <v>2100</v>
      </c>
      <c r="S12" s="44">
        <v>0</v>
      </c>
      <c r="T12" s="43">
        <f>InvoiceTable[[#This Row],[Agreed Amount Total]]+InvoiceTable[[#This Row],[Additional Expenses]]</f>
        <v>2100</v>
      </c>
      <c r="U12" s="43">
        <f>InvoiceTable[[#This Row],[Net Amount]]+InvoiceTable[[#This Row],[VAT to Pay]]</f>
        <v>2520</v>
      </c>
      <c r="V12" s="64">
        <v>15044</v>
      </c>
      <c r="W12" s="45">
        <v>42817</v>
      </c>
      <c r="X12" s="46">
        <f>IF(InvoiceTable[[#This Row],[Invoice Date]]="","",WORKDAY(InvoiceTable[[#This Row],[Invoice Date]],14))</f>
        <v>42837</v>
      </c>
      <c r="Y12" s="20" t="s">
        <v>144</v>
      </c>
      <c r="Z12" s="47">
        <v>42845</v>
      </c>
      <c r="AA12" s="43">
        <f>InvoiceTable[[#This Row],[Net Amount]]*InvoiceTable[[#This Row],[VAT]]</f>
        <v>420</v>
      </c>
      <c r="AB12" s="20"/>
      <c r="AC12" s="20"/>
      <c r="AD12" s="20"/>
      <c r="AE12" s="20"/>
      <c r="AF12" s="20"/>
      <c r="AG12" s="20"/>
      <c r="AH12" s="20"/>
      <c r="AI12" s="20"/>
      <c r="AJ12" s="20"/>
      <c r="AK12" s="20"/>
      <c r="AL12" s="20"/>
      <c r="AM12" s="20"/>
      <c r="AN12" s="20"/>
      <c r="AO12" s="20"/>
      <c r="AP12" s="20"/>
      <c r="AQ12" s="20"/>
      <c r="AR12" s="20"/>
      <c r="AS12" s="20"/>
      <c r="AT12" s="20"/>
      <c r="AU12" s="20"/>
      <c r="AV12" s="20"/>
    </row>
    <row r="13" spans="1:49" x14ac:dyDescent="0.2">
      <c r="B13" s="49" t="s">
        <v>155</v>
      </c>
      <c r="C13" s="50" t="s">
        <v>86</v>
      </c>
      <c r="D13" s="51" t="s">
        <v>21</v>
      </c>
      <c r="E13" s="51" t="s">
        <v>22</v>
      </c>
      <c r="F13" s="51" t="s">
        <v>23</v>
      </c>
      <c r="G13" s="51"/>
      <c r="H13" s="71">
        <v>0</v>
      </c>
      <c r="I13" s="20" t="s">
        <v>212</v>
      </c>
      <c r="J13" s="21" t="s">
        <v>196</v>
      </c>
      <c r="K13" s="22">
        <v>5500</v>
      </c>
      <c r="L13" s="20"/>
      <c r="M13" s="20"/>
      <c r="N13" s="22"/>
      <c r="O13" s="20"/>
      <c r="P13" s="20"/>
      <c r="Q13" s="22"/>
      <c r="R13" s="10">
        <f>InvoiceTable[[#This Row],[Amount Line 1]]+InvoiceTable[[#This Row],[Amount Line 2]]+InvoiceTable[[#This Row],[Amount Line 3]]</f>
        <v>5500</v>
      </c>
      <c r="S13" s="44">
        <v>5189.0677075471694</v>
      </c>
      <c r="T13" s="43">
        <f>InvoiceTable[[#This Row],[Agreed Amount Total]]+InvoiceTable[[#This Row],[Additional Expenses]]</f>
        <v>10689.067707547169</v>
      </c>
      <c r="U13" s="43">
        <f>InvoiceTable[[#This Row],[Net Amount]]+InvoiceTable[[#This Row],[VAT to Pay]]</f>
        <v>10689.067707547169</v>
      </c>
      <c r="V13" s="64">
        <v>15046</v>
      </c>
      <c r="W13" s="45">
        <v>42838</v>
      </c>
      <c r="X13" s="46">
        <f>IF(InvoiceTable[[#This Row],[Invoice Date]]="","",WORKDAY(InvoiceTable[[#This Row],[Invoice Date]],14))</f>
        <v>42858</v>
      </c>
      <c r="Y13" s="20" t="s">
        <v>144</v>
      </c>
      <c r="Z13" s="47">
        <v>42845</v>
      </c>
      <c r="AA13" s="43">
        <f>InvoiceTable[[#This Row],[Net Amount]]*InvoiceTable[[#This Row],[VAT]]</f>
        <v>0</v>
      </c>
      <c r="AB13" s="20"/>
      <c r="AC13" s="20"/>
      <c r="AD13" s="20"/>
      <c r="AE13" s="20"/>
      <c r="AF13" s="20"/>
      <c r="AG13" s="20"/>
      <c r="AH13" s="20"/>
      <c r="AI13" s="20"/>
      <c r="AJ13" s="20"/>
      <c r="AK13" s="20"/>
      <c r="AL13" s="20"/>
      <c r="AM13" s="20"/>
      <c r="AN13" s="20"/>
      <c r="AO13" s="20"/>
      <c r="AP13" s="20"/>
      <c r="AQ13" s="20"/>
      <c r="AR13" s="20"/>
      <c r="AS13" s="20"/>
      <c r="AT13" s="20"/>
      <c r="AU13" s="20"/>
      <c r="AV13" s="20"/>
    </row>
    <row r="14" spans="1:49" x14ac:dyDescent="0.2">
      <c r="B14" s="49" t="s">
        <v>123</v>
      </c>
      <c r="C14" s="50" t="s">
        <v>17</v>
      </c>
      <c r="D14" s="51" t="s">
        <v>90</v>
      </c>
      <c r="E14" s="51" t="s">
        <v>91</v>
      </c>
      <c r="F14" s="51" t="s">
        <v>98</v>
      </c>
      <c r="G14" s="51" t="s">
        <v>119</v>
      </c>
      <c r="H14" s="71">
        <v>0.2</v>
      </c>
      <c r="I14" s="20" t="s">
        <v>208</v>
      </c>
      <c r="J14" s="21" t="s">
        <v>197</v>
      </c>
      <c r="K14" s="22">
        <v>2000</v>
      </c>
      <c r="L14" s="20"/>
      <c r="M14" s="20"/>
      <c r="N14" s="22"/>
      <c r="O14" s="20"/>
      <c r="P14" s="20"/>
      <c r="Q14" s="22"/>
      <c r="R14" s="10">
        <f>InvoiceTable[[#This Row],[Amount Line 1]]+InvoiceTable[[#This Row],[Amount Line 2]]+InvoiceTable[[#This Row],[Amount Line 3]]</f>
        <v>2000</v>
      </c>
      <c r="S14" s="44">
        <v>738.21</v>
      </c>
      <c r="T14" s="43">
        <f>InvoiceTable[[#This Row],[Agreed Amount Total]]+InvoiceTable[[#This Row],[Additional Expenses]]</f>
        <v>2738.21</v>
      </c>
      <c r="U14" s="43">
        <f>InvoiceTable[[#This Row],[Net Amount]]+InvoiceTable[[#This Row],[VAT to Pay]]</f>
        <v>3285.8519999999999</v>
      </c>
      <c r="V14" s="64">
        <v>15047</v>
      </c>
      <c r="W14" s="45">
        <v>42838</v>
      </c>
      <c r="X14" s="46">
        <f>IF(InvoiceTable[[#This Row],[Invoice Date]]="","",WORKDAY(InvoiceTable[[#This Row],[Invoice Date]],14))</f>
        <v>42858</v>
      </c>
      <c r="Y14" s="20" t="s">
        <v>144</v>
      </c>
      <c r="Z14" s="47">
        <v>42848</v>
      </c>
      <c r="AA14" s="43">
        <f>InvoiceTable[[#This Row],[Net Amount]]*InvoiceTable[[#This Row],[VAT]]</f>
        <v>547.64200000000005</v>
      </c>
      <c r="AB14" s="20"/>
      <c r="AC14" s="20"/>
      <c r="AD14" s="20"/>
      <c r="AE14" s="20"/>
      <c r="AF14" s="20"/>
      <c r="AG14" s="20"/>
      <c r="AH14" s="20"/>
      <c r="AI14" s="20"/>
      <c r="AJ14" s="20"/>
      <c r="AK14" s="20"/>
      <c r="AL14" s="20"/>
      <c r="AM14" s="20"/>
      <c r="AN14" s="20"/>
      <c r="AO14" s="20"/>
      <c r="AP14" s="20"/>
      <c r="AQ14" s="20"/>
      <c r="AR14" s="20"/>
      <c r="AS14" s="20"/>
      <c r="AT14" s="20"/>
      <c r="AU14" s="20"/>
      <c r="AV14" s="20"/>
    </row>
    <row r="15" spans="1:49" x14ac:dyDescent="0.2">
      <c r="B15" s="52" t="s">
        <v>121</v>
      </c>
      <c r="C15" s="53" t="s">
        <v>11</v>
      </c>
      <c r="D15" s="51" t="s">
        <v>30</v>
      </c>
      <c r="E15" s="51" t="s">
        <v>32</v>
      </c>
      <c r="F15" s="51" t="s">
        <v>31</v>
      </c>
      <c r="G15" s="51"/>
      <c r="H15" s="71">
        <v>0</v>
      </c>
      <c r="I15" s="20" t="s">
        <v>213</v>
      </c>
      <c r="J15" s="21">
        <v>42469</v>
      </c>
      <c r="K15" s="22">
        <v>840</v>
      </c>
      <c r="L15" s="20"/>
      <c r="M15" s="20"/>
      <c r="N15" s="22"/>
      <c r="O15" s="20"/>
      <c r="P15" s="20"/>
      <c r="Q15" s="22"/>
      <c r="R15" s="10">
        <f>InvoiceTable[[#This Row],[Amount Line 1]]+InvoiceTable[[#This Row],[Amount Line 2]]+InvoiceTable[[#This Row],[Amount Line 3]]</f>
        <v>840</v>
      </c>
      <c r="S15" s="44">
        <v>0</v>
      </c>
      <c r="T15" s="43">
        <f>InvoiceTable[[#This Row],[Agreed Amount Total]]+InvoiceTable[[#This Row],[Additional Expenses]]</f>
        <v>840</v>
      </c>
      <c r="U15" s="43">
        <f>InvoiceTable[[#This Row],[Net Amount]]+InvoiceTable[[#This Row],[VAT to Pay]]</f>
        <v>840</v>
      </c>
      <c r="V15" s="64">
        <v>15048</v>
      </c>
      <c r="W15" s="45">
        <v>42852</v>
      </c>
      <c r="X15" s="46">
        <f>IF(InvoiceTable[[#This Row],[Invoice Date]]="","",WORKDAY(InvoiceTable[[#This Row],[Invoice Date]],14))</f>
        <v>42872</v>
      </c>
      <c r="Y15" s="20"/>
      <c r="Z15" s="47">
        <v>42863</v>
      </c>
      <c r="AA15" s="43">
        <f>InvoiceTable[[#This Row],[Net Amount]]*InvoiceTable[[#This Row],[VAT]]</f>
        <v>0</v>
      </c>
      <c r="AB15" s="20"/>
      <c r="AC15" s="20"/>
      <c r="AD15" s="20"/>
      <c r="AE15" s="20"/>
      <c r="AF15" s="20"/>
      <c r="AG15" s="20"/>
      <c r="AH15" s="20"/>
      <c r="AI15" s="20"/>
      <c r="AJ15" s="20"/>
      <c r="AK15" s="20"/>
      <c r="AL15" s="20"/>
      <c r="AM15" s="20"/>
      <c r="AN15" s="20"/>
      <c r="AO15" s="20"/>
      <c r="AP15" s="20"/>
      <c r="AQ15" s="20"/>
      <c r="AR15" s="20"/>
      <c r="AS15" s="20"/>
      <c r="AT15" s="20"/>
      <c r="AU15" s="20"/>
      <c r="AV15" s="20"/>
      <c r="AW15" s="20"/>
    </row>
    <row r="16" spans="1:49" x14ac:dyDescent="0.2">
      <c r="B16" s="20" t="s">
        <v>43</v>
      </c>
      <c r="C16" s="20" t="s">
        <v>9</v>
      </c>
      <c r="D16" s="54" t="s">
        <v>24</v>
      </c>
      <c r="E16" s="54" t="s">
        <v>25</v>
      </c>
      <c r="F16" s="54" t="s">
        <v>26</v>
      </c>
      <c r="G16" s="54" t="s">
        <v>190</v>
      </c>
      <c r="H16" s="70">
        <v>0</v>
      </c>
      <c r="I16" s="20" t="s">
        <v>214</v>
      </c>
      <c r="J16" s="21" t="s">
        <v>198</v>
      </c>
      <c r="K16" s="22">
        <v>1680</v>
      </c>
      <c r="L16" s="20"/>
      <c r="M16" s="20"/>
      <c r="N16" s="22"/>
      <c r="O16" s="20"/>
      <c r="P16" s="20"/>
      <c r="Q16" s="22"/>
      <c r="R16" s="10">
        <f>InvoiceTable[[#This Row],[Amount Line 1]]+InvoiceTable[[#This Row],[Amount Line 2]]+InvoiceTable[[#This Row],[Amount Line 3]]</f>
        <v>1680</v>
      </c>
      <c r="S16" s="44">
        <v>0</v>
      </c>
      <c r="T16" s="43">
        <f>InvoiceTable[[#This Row],[Agreed Amount Total]]+InvoiceTable[[#This Row],[Additional Expenses]]</f>
        <v>1680</v>
      </c>
      <c r="U16" s="43">
        <f>InvoiceTable[[#This Row],[Net Amount]]+InvoiceTable[[#This Row],[VAT to Pay]]</f>
        <v>1680</v>
      </c>
      <c r="V16" s="64">
        <v>15049</v>
      </c>
      <c r="W16" s="45">
        <v>42852</v>
      </c>
      <c r="X16" s="46">
        <f>IF(InvoiceTable[[#This Row],[Invoice Date]]="","",WORKDAY(InvoiceTable[[#This Row],[Invoice Date]],14))</f>
        <v>42872</v>
      </c>
      <c r="Y16" s="20" t="s">
        <v>144</v>
      </c>
      <c r="Z16" s="47">
        <v>42866</v>
      </c>
      <c r="AA16" s="43">
        <f>InvoiceTable[[#This Row],[Net Amount]]*InvoiceTable[[#This Row],[VAT]]</f>
        <v>0</v>
      </c>
      <c r="AB16" s="20"/>
      <c r="AC16" s="20"/>
      <c r="AD16" s="20"/>
      <c r="AE16" s="20"/>
      <c r="AF16" s="20"/>
      <c r="AG16" s="20"/>
      <c r="AH16" s="20"/>
      <c r="AI16" s="20"/>
      <c r="AJ16" s="20"/>
      <c r="AK16" s="20"/>
      <c r="AL16" s="20"/>
      <c r="AM16" s="20"/>
      <c r="AN16" s="20"/>
      <c r="AO16" s="20"/>
      <c r="AP16" s="20"/>
      <c r="AQ16" s="20"/>
      <c r="AR16" s="20"/>
      <c r="AS16" s="20"/>
      <c r="AT16" s="20"/>
      <c r="AU16" s="20"/>
      <c r="AV16" s="20"/>
      <c r="AW16" s="20"/>
    </row>
    <row r="17" spans="1:49" s="41" customFormat="1" ht="28.5" x14ac:dyDescent="0.2">
      <c r="A17" s="34"/>
      <c r="B17" s="20" t="s">
        <v>251</v>
      </c>
      <c r="C17" s="20" t="s">
        <v>12</v>
      </c>
      <c r="D17" s="54" t="s">
        <v>33</v>
      </c>
      <c r="E17" s="54" t="s">
        <v>32</v>
      </c>
      <c r="F17" s="54" t="s">
        <v>31</v>
      </c>
      <c r="G17" s="54"/>
      <c r="H17" s="70">
        <v>0</v>
      </c>
      <c r="I17" s="20" t="s">
        <v>215</v>
      </c>
      <c r="J17" s="21" t="s">
        <v>199</v>
      </c>
      <c r="K17" s="23">
        <v>1680</v>
      </c>
      <c r="L17" s="24"/>
      <c r="M17" s="24"/>
      <c r="N17" s="23"/>
      <c r="O17" s="24"/>
      <c r="P17" s="24"/>
      <c r="Q17" s="23"/>
      <c r="R17" s="10">
        <f>InvoiceTable[[#This Row],[Amount Line 1]]+InvoiceTable[[#This Row],[Amount Line 2]]+InvoiceTable[[#This Row],[Amount Line 3]]</f>
        <v>1680</v>
      </c>
      <c r="S17" s="55">
        <v>0</v>
      </c>
      <c r="T17" s="43">
        <f>InvoiceTable[[#This Row],[Agreed Amount Total]]+InvoiceTable[[#This Row],[Additional Expenses]]</f>
        <v>1680</v>
      </c>
      <c r="U17" s="43">
        <f>InvoiceTable[[#This Row],[Net Amount]]+InvoiceTable[[#This Row],[VAT to Pay]]</f>
        <v>1680</v>
      </c>
      <c r="V17" s="64">
        <v>15050</v>
      </c>
      <c r="W17" s="56">
        <v>42859</v>
      </c>
      <c r="X17" s="57">
        <f>IF(InvoiceTable[[#This Row],[Invoice Date]]="","",WORKDAY(InvoiceTable[[#This Row],[Invoice Date]],14))</f>
        <v>42879</v>
      </c>
      <c r="Y17" s="20" t="s">
        <v>144</v>
      </c>
      <c r="Z17" s="58">
        <v>42870</v>
      </c>
      <c r="AA17" s="59">
        <f>InvoiceTable[[#This Row],[Net Amount]]*InvoiceTable[[#This Row],[VAT]]</f>
        <v>0</v>
      </c>
      <c r="AB17" s="34"/>
      <c r="AC17" s="34"/>
      <c r="AD17" s="60"/>
      <c r="AE17" s="60"/>
      <c r="AF17" s="60"/>
      <c r="AG17" s="60"/>
      <c r="AH17" s="60"/>
      <c r="AI17" s="60"/>
      <c r="AJ17" s="60"/>
      <c r="AK17" s="60"/>
      <c r="AL17" s="60"/>
      <c r="AM17" s="60"/>
      <c r="AN17" s="60"/>
      <c r="AO17" s="60"/>
      <c r="AP17" s="60"/>
      <c r="AQ17" s="60"/>
      <c r="AR17" s="60"/>
      <c r="AS17" s="60"/>
      <c r="AT17" s="60"/>
      <c r="AU17" s="60"/>
      <c r="AV17" s="60"/>
      <c r="AW17" s="60"/>
    </row>
    <row r="18" spans="1:49" s="41" customFormat="1" x14ac:dyDescent="0.2">
      <c r="A18" s="34"/>
      <c r="B18" s="49" t="s">
        <v>121</v>
      </c>
      <c r="C18" s="50" t="s">
        <v>11</v>
      </c>
      <c r="D18" s="51" t="s">
        <v>30</v>
      </c>
      <c r="E18" s="51" t="s">
        <v>32</v>
      </c>
      <c r="F18" s="51" t="s">
        <v>31</v>
      </c>
      <c r="G18" s="51"/>
      <c r="H18" s="71">
        <v>0</v>
      </c>
      <c r="I18" s="20" t="s">
        <v>216</v>
      </c>
      <c r="J18" s="21">
        <v>42503</v>
      </c>
      <c r="K18" s="23">
        <v>1680</v>
      </c>
      <c r="L18" s="24"/>
      <c r="M18" s="24"/>
      <c r="N18" s="23"/>
      <c r="O18" s="24"/>
      <c r="P18" s="24"/>
      <c r="Q18" s="23"/>
      <c r="R18" s="10">
        <f>InvoiceTable[[#This Row],[Amount Line 1]]+InvoiceTable[[#This Row],[Amount Line 2]]+InvoiceTable[[#This Row],[Amount Line 3]]</f>
        <v>1680</v>
      </c>
      <c r="S18" s="55">
        <v>0</v>
      </c>
      <c r="T18" s="43">
        <f>InvoiceTable[[#This Row],[Agreed Amount Total]]+InvoiceTable[[#This Row],[Additional Expenses]]</f>
        <v>1680</v>
      </c>
      <c r="U18" s="43">
        <f>InvoiceTable[[#This Row],[Net Amount]]+InvoiceTable[[#This Row],[VAT to Pay]]</f>
        <v>1680</v>
      </c>
      <c r="V18" s="64">
        <v>15051</v>
      </c>
      <c r="W18" s="56">
        <v>42875</v>
      </c>
      <c r="X18" s="57">
        <f>IF(InvoiceTable[[#This Row],[Invoice Date]]="","",WORKDAY(InvoiceTable[[#This Row],[Invoice Date]],14))</f>
        <v>42894</v>
      </c>
      <c r="Y18" s="20" t="s">
        <v>144</v>
      </c>
      <c r="Z18" s="58">
        <v>42895</v>
      </c>
      <c r="AA18" s="59">
        <f>InvoiceTable[[#This Row],[Net Amount]]*InvoiceTable[[#This Row],[VAT]]</f>
        <v>0</v>
      </c>
      <c r="AB18" s="34"/>
      <c r="AC18" s="34"/>
      <c r="AD18" s="60"/>
      <c r="AE18" s="60"/>
      <c r="AF18" s="60"/>
      <c r="AG18" s="60"/>
      <c r="AH18" s="60"/>
      <c r="AI18" s="60"/>
      <c r="AJ18" s="60"/>
      <c r="AK18" s="60"/>
      <c r="AL18" s="60"/>
      <c r="AM18" s="60"/>
      <c r="AN18" s="60"/>
      <c r="AO18" s="60"/>
      <c r="AP18" s="60"/>
      <c r="AQ18" s="60"/>
      <c r="AR18" s="60"/>
      <c r="AS18" s="60"/>
      <c r="AT18" s="60"/>
      <c r="AU18" s="60"/>
      <c r="AV18" s="60"/>
      <c r="AW18" s="60"/>
    </row>
    <row r="19" spans="1:49" s="41" customFormat="1" x14ac:dyDescent="0.2">
      <c r="A19" s="34"/>
      <c r="B19" s="49" t="s">
        <v>120</v>
      </c>
      <c r="C19" s="50" t="s">
        <v>14</v>
      </c>
      <c r="D19" s="51" t="s">
        <v>35</v>
      </c>
      <c r="E19" s="51" t="s">
        <v>36</v>
      </c>
      <c r="F19" s="51" t="s">
        <v>37</v>
      </c>
      <c r="G19" s="51"/>
      <c r="H19" s="71">
        <v>0</v>
      </c>
      <c r="I19" s="20" t="s">
        <v>217</v>
      </c>
      <c r="J19" s="21" t="s">
        <v>200</v>
      </c>
      <c r="K19" s="23">
        <v>4000</v>
      </c>
      <c r="L19" s="24"/>
      <c r="M19" s="24"/>
      <c r="N19" s="23"/>
      <c r="O19" s="24"/>
      <c r="P19" s="24"/>
      <c r="Q19" s="23"/>
      <c r="R19" s="10">
        <f>InvoiceTable[[#This Row],[Amount Line 1]]+InvoiceTable[[#This Row],[Amount Line 2]]+InvoiceTable[[#This Row],[Amount Line 3]]</f>
        <v>4000</v>
      </c>
      <c r="S19" s="55">
        <v>0</v>
      </c>
      <c r="T19" s="43">
        <f>InvoiceTable[[#This Row],[Agreed Amount Total]]+InvoiceTable[[#This Row],[Additional Expenses]]</f>
        <v>4000</v>
      </c>
      <c r="U19" s="43">
        <f>InvoiceTable[[#This Row],[Net Amount]]+InvoiceTable[[#This Row],[VAT to Pay]]</f>
        <v>4000</v>
      </c>
      <c r="V19" s="64">
        <v>15052</v>
      </c>
      <c r="W19" s="56">
        <v>42887</v>
      </c>
      <c r="X19" s="57">
        <f>IF(InvoiceTable[[#This Row],[Invoice Date]]="","",WORKDAY(InvoiceTable[[#This Row],[Invoice Date]],14))</f>
        <v>42907</v>
      </c>
      <c r="Y19" s="20" t="s">
        <v>144</v>
      </c>
      <c r="Z19" s="58">
        <v>42908</v>
      </c>
      <c r="AA19" s="59">
        <f>InvoiceTable[[#This Row],[Net Amount]]*InvoiceTable[[#This Row],[VAT]]</f>
        <v>0</v>
      </c>
      <c r="AB19" s="34"/>
      <c r="AC19" s="34"/>
      <c r="AD19" s="60"/>
      <c r="AE19" s="60"/>
      <c r="AF19" s="60"/>
      <c r="AG19" s="60"/>
      <c r="AH19" s="60"/>
      <c r="AI19" s="60"/>
      <c r="AJ19" s="60"/>
      <c r="AK19" s="60"/>
      <c r="AL19" s="60"/>
      <c r="AM19" s="60"/>
      <c r="AN19" s="60"/>
      <c r="AO19" s="60"/>
      <c r="AP19" s="60"/>
      <c r="AQ19" s="60"/>
      <c r="AR19" s="60"/>
      <c r="AS19" s="60"/>
      <c r="AT19" s="60"/>
      <c r="AU19" s="60"/>
      <c r="AV19" s="60"/>
      <c r="AW19" s="60"/>
    </row>
    <row r="20" spans="1:49" s="41" customFormat="1" x14ac:dyDescent="0.2">
      <c r="A20" s="34"/>
      <c r="B20" s="49" t="s">
        <v>45</v>
      </c>
      <c r="C20" s="50" t="s">
        <v>12</v>
      </c>
      <c r="D20" s="51" t="s">
        <v>33</v>
      </c>
      <c r="E20" s="51" t="s">
        <v>32</v>
      </c>
      <c r="F20" s="51" t="s">
        <v>31</v>
      </c>
      <c r="G20" s="51"/>
      <c r="H20" s="71">
        <v>0</v>
      </c>
      <c r="I20" s="20" t="s">
        <v>218</v>
      </c>
      <c r="J20" s="21" t="s">
        <v>201</v>
      </c>
      <c r="K20" s="23">
        <v>3000</v>
      </c>
      <c r="L20" s="24"/>
      <c r="M20" s="24"/>
      <c r="N20" s="23"/>
      <c r="O20" s="24"/>
      <c r="P20" s="24"/>
      <c r="Q20" s="23"/>
      <c r="R20" s="10">
        <f>InvoiceTable[[#This Row],[Amount Line 1]]+InvoiceTable[[#This Row],[Amount Line 2]]+InvoiceTable[[#This Row],[Amount Line 3]]</f>
        <v>3000</v>
      </c>
      <c r="S20" s="55">
        <v>0</v>
      </c>
      <c r="T20" s="43">
        <f>InvoiceTable[[#This Row],[Agreed Amount Total]]+InvoiceTable[[#This Row],[Additional Expenses]]</f>
        <v>3000</v>
      </c>
      <c r="U20" s="43">
        <f>InvoiceTable[[#This Row],[Net Amount]]+InvoiceTable[[#This Row],[VAT to Pay]]</f>
        <v>3000</v>
      </c>
      <c r="V20" s="64">
        <v>15053</v>
      </c>
      <c r="W20" s="56">
        <v>42908</v>
      </c>
      <c r="X20" s="57">
        <f>IF(InvoiceTable[[#This Row],[Invoice Date]]="","",WORKDAY(InvoiceTable[[#This Row],[Invoice Date]],14))</f>
        <v>42928</v>
      </c>
      <c r="Y20" s="20" t="s">
        <v>144</v>
      </c>
      <c r="Z20" s="58">
        <v>42937</v>
      </c>
      <c r="AA20" s="59">
        <f>InvoiceTable[[#This Row],[Net Amount]]*InvoiceTable[[#This Row],[VAT]]</f>
        <v>0</v>
      </c>
      <c r="AB20" s="34"/>
      <c r="AC20" s="34"/>
      <c r="AD20" s="60"/>
      <c r="AE20" s="60"/>
      <c r="AF20" s="60"/>
      <c r="AG20" s="60"/>
      <c r="AH20" s="60"/>
      <c r="AI20" s="60"/>
      <c r="AJ20" s="60"/>
      <c r="AK20" s="60"/>
      <c r="AL20" s="60"/>
      <c r="AM20" s="60"/>
      <c r="AN20" s="60"/>
      <c r="AO20" s="60"/>
      <c r="AP20" s="60"/>
      <c r="AQ20" s="60"/>
      <c r="AR20" s="60"/>
      <c r="AS20" s="60"/>
      <c r="AT20" s="60"/>
      <c r="AU20" s="60"/>
      <c r="AV20" s="60"/>
      <c r="AW20" s="60"/>
    </row>
    <row r="21" spans="1:49" s="41" customFormat="1" x14ac:dyDescent="0.2">
      <c r="A21" s="34"/>
      <c r="B21" s="20" t="s">
        <v>47</v>
      </c>
      <c r="C21" s="20" t="s">
        <v>85</v>
      </c>
      <c r="D21" s="54" t="s">
        <v>38</v>
      </c>
      <c r="E21" s="54" t="s">
        <v>40</v>
      </c>
      <c r="F21" s="54" t="s">
        <v>39</v>
      </c>
      <c r="G21" s="54"/>
      <c r="H21" s="70">
        <v>0</v>
      </c>
      <c r="I21" s="20" t="s">
        <v>219</v>
      </c>
      <c r="J21" s="25">
        <v>42557</v>
      </c>
      <c r="K21" s="23">
        <v>2400</v>
      </c>
      <c r="L21" s="24"/>
      <c r="M21" s="24"/>
      <c r="N21" s="23"/>
      <c r="O21" s="24"/>
      <c r="P21" s="24"/>
      <c r="Q21" s="23"/>
      <c r="R21" s="10">
        <f>InvoiceTable[[#This Row],[Amount Line 1]]+InvoiceTable[[#This Row],[Amount Line 2]]+InvoiceTable[[#This Row],[Amount Line 3]]</f>
        <v>2400</v>
      </c>
      <c r="S21" s="55">
        <v>0</v>
      </c>
      <c r="T21" s="43">
        <f>InvoiceTable[[#This Row],[Agreed Amount Total]]+InvoiceTable[[#This Row],[Additional Expenses]]</f>
        <v>2400</v>
      </c>
      <c r="U21" s="43">
        <f>InvoiceTable[[#This Row],[Net Amount]]+InvoiceTable[[#This Row],[VAT to Pay]]</f>
        <v>2400</v>
      </c>
      <c r="V21" s="64">
        <v>15054</v>
      </c>
      <c r="W21" s="56">
        <v>42950</v>
      </c>
      <c r="X21" s="57">
        <f>IF(InvoiceTable[[#This Row],[Invoice Date]]="","",WORKDAY(InvoiceTable[[#This Row],[Invoice Date]],14))</f>
        <v>42970</v>
      </c>
      <c r="Y21" s="20" t="s">
        <v>144</v>
      </c>
      <c r="Z21" s="58">
        <v>42964</v>
      </c>
      <c r="AA21" s="59">
        <f>InvoiceTable[[#This Row],[Net Amount]]*InvoiceTable[[#This Row],[VAT]]</f>
        <v>0</v>
      </c>
      <c r="AB21" s="34"/>
      <c r="AC21" s="34"/>
      <c r="AD21" s="60"/>
      <c r="AE21" s="60"/>
      <c r="AF21" s="60"/>
      <c r="AG21" s="60"/>
      <c r="AH21" s="60"/>
      <c r="AI21" s="60"/>
      <c r="AJ21" s="60"/>
      <c r="AK21" s="60"/>
      <c r="AL21" s="60"/>
      <c r="AM21" s="60"/>
      <c r="AN21" s="60"/>
      <c r="AO21" s="60"/>
      <c r="AP21" s="60"/>
      <c r="AQ21" s="60"/>
      <c r="AR21" s="60"/>
      <c r="AS21" s="60"/>
      <c r="AT21" s="60"/>
      <c r="AU21" s="60"/>
      <c r="AV21" s="60"/>
      <c r="AW21" s="60"/>
    </row>
    <row r="22" spans="1:49" s="41" customFormat="1" x14ac:dyDescent="0.2">
      <c r="A22" s="34"/>
      <c r="B22" s="49" t="s">
        <v>121</v>
      </c>
      <c r="C22" s="50" t="s">
        <v>11</v>
      </c>
      <c r="D22" s="51" t="s">
        <v>30</v>
      </c>
      <c r="E22" s="51" t="s">
        <v>32</v>
      </c>
      <c r="F22" s="51" t="s">
        <v>31</v>
      </c>
      <c r="G22" s="51"/>
      <c r="H22" s="71">
        <v>0</v>
      </c>
      <c r="I22" s="20" t="s">
        <v>220</v>
      </c>
      <c r="J22" s="25" t="s">
        <v>202</v>
      </c>
      <c r="K22" s="23">
        <v>3060</v>
      </c>
      <c r="L22" s="24"/>
      <c r="M22" s="24"/>
      <c r="N22" s="23"/>
      <c r="O22" s="24"/>
      <c r="P22" s="24"/>
      <c r="Q22" s="23"/>
      <c r="R22" s="10">
        <f>InvoiceTable[[#This Row],[Amount Line 1]]+InvoiceTable[[#This Row],[Amount Line 2]]+InvoiceTable[[#This Row],[Amount Line 3]]</f>
        <v>3060</v>
      </c>
      <c r="S22" s="55">
        <v>0</v>
      </c>
      <c r="T22" s="43">
        <f>InvoiceTable[[#This Row],[Agreed Amount Total]]+InvoiceTable[[#This Row],[Additional Expenses]]</f>
        <v>3060</v>
      </c>
      <c r="U22" s="43">
        <f>InvoiceTable[[#This Row],[Net Amount]]+InvoiceTable[[#This Row],[VAT to Pay]]</f>
        <v>3060</v>
      </c>
      <c r="V22" s="64">
        <v>15055</v>
      </c>
      <c r="W22" s="56">
        <v>42971</v>
      </c>
      <c r="X22" s="57">
        <f>IF(InvoiceTable[[#This Row],[Invoice Date]]="","",WORKDAY(InvoiceTable[[#This Row],[Invoice Date]],14))</f>
        <v>42991</v>
      </c>
      <c r="Y22" s="20" t="s">
        <v>144</v>
      </c>
      <c r="Z22" s="58">
        <v>42999</v>
      </c>
      <c r="AA22" s="59">
        <f>InvoiceTable[[#This Row],[Net Amount]]*InvoiceTable[[#This Row],[VAT]]</f>
        <v>0</v>
      </c>
      <c r="AB22" s="34"/>
      <c r="AC22" s="34"/>
      <c r="AD22" s="60"/>
      <c r="AE22" s="60"/>
      <c r="AF22" s="60"/>
      <c r="AG22" s="60"/>
      <c r="AH22" s="60"/>
      <c r="AI22" s="60"/>
      <c r="AJ22" s="60"/>
      <c r="AK22" s="60"/>
      <c r="AL22" s="60"/>
      <c r="AM22" s="60"/>
      <c r="AN22" s="60"/>
      <c r="AO22" s="60"/>
      <c r="AP22" s="60"/>
      <c r="AQ22" s="60"/>
      <c r="AR22" s="60"/>
      <c r="AS22" s="60"/>
      <c r="AT22" s="60"/>
      <c r="AU22" s="60"/>
      <c r="AV22" s="60"/>
      <c r="AW22" s="60"/>
    </row>
    <row r="23" spans="1:49" s="41" customFormat="1" x14ac:dyDescent="0.2">
      <c r="A23" s="34"/>
      <c r="B23" s="49" t="s">
        <v>121</v>
      </c>
      <c r="C23" s="50" t="s">
        <v>171</v>
      </c>
      <c r="D23" s="51" t="s">
        <v>30</v>
      </c>
      <c r="E23" s="51" t="s">
        <v>32</v>
      </c>
      <c r="F23" s="51" t="s">
        <v>31</v>
      </c>
      <c r="G23" s="51"/>
      <c r="H23" s="71">
        <v>0</v>
      </c>
      <c r="I23" s="20" t="s">
        <v>221</v>
      </c>
      <c r="J23" s="25">
        <v>42608</v>
      </c>
      <c r="K23" s="23">
        <v>1375</v>
      </c>
      <c r="L23" s="24"/>
      <c r="M23" s="24"/>
      <c r="N23" s="23"/>
      <c r="O23" s="24"/>
      <c r="P23" s="24"/>
      <c r="Q23" s="23"/>
      <c r="R23" s="10">
        <f>InvoiceTable[[#This Row],[Amount Line 1]]+InvoiceTable[[#This Row],[Amount Line 2]]+InvoiceTable[[#This Row],[Amount Line 3]]</f>
        <v>1375</v>
      </c>
      <c r="S23" s="55">
        <v>0</v>
      </c>
      <c r="T23" s="43">
        <f>InvoiceTable[[#This Row],[Agreed Amount Total]]+InvoiceTable[[#This Row],[Additional Expenses]]</f>
        <v>1375</v>
      </c>
      <c r="U23" s="43">
        <f>InvoiceTable[[#This Row],[Net Amount]]+InvoiceTable[[#This Row],[VAT to Pay]]</f>
        <v>1375</v>
      </c>
      <c r="V23" s="64">
        <v>15056</v>
      </c>
      <c r="W23" s="56">
        <v>42993</v>
      </c>
      <c r="X23" s="57">
        <f>IF(InvoiceTable[[#This Row],[Invoice Date]]="","",WORKDAY(InvoiceTable[[#This Row],[Invoice Date]],14))</f>
        <v>43013</v>
      </c>
      <c r="Y23" s="20" t="s">
        <v>144</v>
      </c>
      <c r="Z23" s="58">
        <v>43010</v>
      </c>
      <c r="AA23" s="59">
        <f>InvoiceTable[[#This Row],[Net Amount]]*InvoiceTable[[#This Row],[VAT]]</f>
        <v>0</v>
      </c>
      <c r="AB23" s="34"/>
      <c r="AC23" s="34"/>
      <c r="AD23" s="60"/>
      <c r="AE23" s="60"/>
      <c r="AF23" s="60"/>
      <c r="AG23" s="60"/>
      <c r="AH23" s="60"/>
      <c r="AI23" s="60"/>
      <c r="AJ23" s="60"/>
      <c r="AK23" s="60"/>
      <c r="AL23" s="60"/>
      <c r="AM23" s="60"/>
      <c r="AN23" s="60"/>
      <c r="AO23" s="60"/>
      <c r="AP23" s="60"/>
      <c r="AQ23" s="60"/>
      <c r="AR23" s="60"/>
      <c r="AS23" s="60"/>
      <c r="AT23" s="60"/>
      <c r="AU23" s="60"/>
      <c r="AV23" s="60"/>
      <c r="AW23" s="60"/>
    </row>
    <row r="24" spans="1:49" s="41" customFormat="1" x14ac:dyDescent="0.2">
      <c r="A24" s="34"/>
      <c r="B24" s="49" t="s">
        <v>120</v>
      </c>
      <c r="C24" s="50" t="s">
        <v>14</v>
      </c>
      <c r="D24" s="51" t="s">
        <v>35</v>
      </c>
      <c r="E24" s="51" t="s">
        <v>36</v>
      </c>
      <c r="F24" s="51" t="s">
        <v>37</v>
      </c>
      <c r="G24" s="51"/>
      <c r="H24" s="71">
        <v>0</v>
      </c>
      <c r="I24" s="20" t="s">
        <v>222</v>
      </c>
      <c r="J24" s="25" t="s">
        <v>203</v>
      </c>
      <c r="K24" s="23">
        <v>4000</v>
      </c>
      <c r="L24" s="24"/>
      <c r="M24" s="24"/>
      <c r="N24" s="23"/>
      <c r="O24" s="24"/>
      <c r="P24" s="24"/>
      <c r="Q24" s="23"/>
      <c r="R24" s="10">
        <f>InvoiceTable[[#This Row],[Amount Line 1]]+InvoiceTable[[#This Row],[Amount Line 2]]+InvoiceTable[[#This Row],[Amount Line 3]]</f>
        <v>4000</v>
      </c>
      <c r="S24" s="55">
        <v>0</v>
      </c>
      <c r="T24" s="43">
        <f>InvoiceTable[[#This Row],[Agreed Amount Total]]+InvoiceTable[[#This Row],[Additional Expenses]]</f>
        <v>4000</v>
      </c>
      <c r="U24" s="43">
        <f>InvoiceTable[[#This Row],[Net Amount]]+InvoiceTable[[#This Row],[VAT to Pay]]</f>
        <v>4000</v>
      </c>
      <c r="V24" s="64">
        <v>15057</v>
      </c>
      <c r="W24" s="56">
        <v>43015</v>
      </c>
      <c r="X24" s="57">
        <f>IF(InvoiceTable[[#This Row],[Invoice Date]]="","",WORKDAY(InvoiceTable[[#This Row],[Invoice Date]],14))</f>
        <v>43034</v>
      </c>
      <c r="Y24" s="20" t="s">
        <v>144</v>
      </c>
      <c r="Z24" s="58">
        <v>43035</v>
      </c>
      <c r="AA24" s="59">
        <f>InvoiceTable[[#This Row],[Net Amount]]*InvoiceTable[[#This Row],[VAT]]</f>
        <v>0</v>
      </c>
      <c r="AB24" s="34"/>
      <c r="AC24" s="34"/>
      <c r="AD24" s="60"/>
      <c r="AE24" s="60"/>
      <c r="AF24" s="60"/>
      <c r="AG24" s="60"/>
      <c r="AH24" s="60"/>
      <c r="AI24" s="60"/>
      <c r="AJ24" s="60"/>
      <c r="AK24" s="60"/>
      <c r="AL24" s="60"/>
      <c r="AM24" s="60"/>
      <c r="AN24" s="60"/>
      <c r="AO24" s="60"/>
      <c r="AP24" s="60"/>
      <c r="AQ24" s="60"/>
      <c r="AR24" s="60"/>
      <c r="AS24" s="60"/>
      <c r="AT24" s="60"/>
      <c r="AU24" s="60"/>
      <c r="AV24" s="60"/>
      <c r="AW24" s="60"/>
    </row>
    <row r="25" spans="1:49" x14ac:dyDescent="0.2">
      <c r="B25" s="20" t="s">
        <v>47</v>
      </c>
      <c r="C25" s="20" t="s">
        <v>85</v>
      </c>
      <c r="D25" s="54" t="s">
        <v>38</v>
      </c>
      <c r="E25" s="54" t="s">
        <v>40</v>
      </c>
      <c r="F25" s="54" t="s">
        <v>39</v>
      </c>
      <c r="G25" s="54"/>
      <c r="H25" s="70">
        <v>0</v>
      </c>
      <c r="I25" s="20" t="s">
        <v>223</v>
      </c>
      <c r="J25" s="21" t="s">
        <v>204</v>
      </c>
      <c r="K25" s="22">
        <v>840</v>
      </c>
      <c r="L25" s="20"/>
      <c r="M25" s="20"/>
      <c r="N25" s="22"/>
      <c r="O25" s="20"/>
      <c r="P25" s="20"/>
      <c r="Q25" s="22"/>
      <c r="R25" s="10">
        <f>InvoiceTable[[#This Row],[Amount Line 1]]+InvoiceTable[[#This Row],[Amount Line 2]]+InvoiceTable[[#This Row],[Amount Line 3]]</f>
        <v>840</v>
      </c>
      <c r="S25" s="44">
        <v>0</v>
      </c>
      <c r="T25" s="43">
        <f>InvoiceTable[[#This Row],[Agreed Amount Total]]+InvoiceTable[[#This Row],[Additional Expenses]]</f>
        <v>840</v>
      </c>
      <c r="U25" s="43">
        <f>InvoiceTable[[#This Row],[Net Amount]]+InvoiceTable[[#This Row],[VAT to Pay]]</f>
        <v>840</v>
      </c>
      <c r="V25" s="64">
        <v>15058</v>
      </c>
      <c r="W25" s="45">
        <v>43044</v>
      </c>
      <c r="X25" s="46">
        <f>IF(InvoiceTable[[#This Row],[Invoice Date]]="","",WORKDAY(InvoiceTable[[#This Row],[Invoice Date]],14))</f>
        <v>43062</v>
      </c>
      <c r="Y25" s="20" t="s">
        <v>144</v>
      </c>
      <c r="Z25" s="47">
        <v>43092</v>
      </c>
      <c r="AA25" s="43">
        <f>InvoiceTable[[#This Row],[Net Amount]]*InvoiceTable[[#This Row],[VAT]]</f>
        <v>0</v>
      </c>
      <c r="AB25" s="20"/>
      <c r="AC25" s="20"/>
      <c r="AD25" s="20"/>
      <c r="AE25" s="20"/>
      <c r="AF25" s="20"/>
      <c r="AG25" s="20"/>
      <c r="AH25" s="20"/>
      <c r="AI25" s="20"/>
      <c r="AJ25" s="20"/>
      <c r="AK25" s="20"/>
      <c r="AL25" s="20"/>
      <c r="AM25" s="20"/>
      <c r="AN25" s="20"/>
      <c r="AO25" s="20"/>
      <c r="AP25" s="20"/>
      <c r="AQ25" s="20"/>
      <c r="AR25" s="20"/>
      <c r="AS25" s="20"/>
      <c r="AT25" s="20"/>
      <c r="AU25" s="20"/>
      <c r="AV25" s="20"/>
      <c r="AW25" s="20"/>
    </row>
    <row r="26" spans="1:49" ht="28.5" x14ac:dyDescent="0.2">
      <c r="B26" s="20" t="s">
        <v>121</v>
      </c>
      <c r="C26" s="20" t="s">
        <v>11</v>
      </c>
      <c r="D26" s="54" t="s">
        <v>30</v>
      </c>
      <c r="E26" s="54" t="s">
        <v>32</v>
      </c>
      <c r="F26" s="54" t="s">
        <v>31</v>
      </c>
      <c r="G26" s="54"/>
      <c r="H26" s="70">
        <v>0</v>
      </c>
      <c r="I26" s="20" t="s">
        <v>224</v>
      </c>
      <c r="J26" s="21" t="s">
        <v>205</v>
      </c>
      <c r="K26" s="22">
        <v>3600</v>
      </c>
      <c r="L26" s="20"/>
      <c r="M26" s="20"/>
      <c r="N26" s="22"/>
      <c r="O26" s="20"/>
      <c r="P26" s="20"/>
      <c r="Q26" s="22"/>
      <c r="R26" s="10">
        <f>InvoiceTable[[#This Row],[Amount Line 1]]+InvoiceTable[[#This Row],[Amount Line 2]]+InvoiceTable[[#This Row],[Amount Line 3]]</f>
        <v>3600</v>
      </c>
      <c r="S26" s="44">
        <v>0</v>
      </c>
      <c r="T26" s="43">
        <f>InvoiceTable[[#This Row],[Agreed Amount Total]]+InvoiceTable[[#This Row],[Additional Expenses]]</f>
        <v>3600</v>
      </c>
      <c r="U26" s="43">
        <f>InvoiceTable[[#This Row],[Net Amount]]+InvoiceTable[[#This Row],[VAT to Pay]]</f>
        <v>3600</v>
      </c>
      <c r="V26" s="64">
        <v>15059</v>
      </c>
      <c r="W26" s="45">
        <v>44362</v>
      </c>
      <c r="X26" s="46">
        <f>IF(InvoiceTable[[#This Row],[Invoice Date]]="","",WORKDAY(InvoiceTable[[#This Row],[Invoice Date]],14))</f>
        <v>44382</v>
      </c>
      <c r="Y26" s="20"/>
      <c r="Z26" s="47">
        <v>43083</v>
      </c>
      <c r="AA26" s="43">
        <f>InvoiceTable[[#This Row],[Net Amount]]*InvoiceTable[[#This Row],[VAT]]</f>
        <v>0</v>
      </c>
      <c r="AB26" s="20"/>
      <c r="AC26" s="20"/>
      <c r="AD26" s="20"/>
      <c r="AE26" s="20"/>
      <c r="AF26" s="20"/>
      <c r="AG26" s="20"/>
      <c r="AH26" s="20"/>
      <c r="AI26" s="20"/>
      <c r="AJ26" s="20"/>
      <c r="AK26" s="20"/>
      <c r="AL26" s="20"/>
      <c r="AM26" s="20"/>
      <c r="AN26" s="20"/>
      <c r="AO26" s="20"/>
      <c r="AP26" s="20"/>
      <c r="AQ26" s="20"/>
      <c r="AR26" s="20"/>
      <c r="AS26" s="20"/>
      <c r="AT26" s="20"/>
      <c r="AU26" s="20"/>
      <c r="AV26" s="20"/>
      <c r="AW26" s="20"/>
    </row>
    <row r="27" spans="1:49" x14ac:dyDescent="0.2">
      <c r="B27" s="20" t="s">
        <v>47</v>
      </c>
      <c r="C27" s="20" t="s">
        <v>85</v>
      </c>
      <c r="D27" s="54" t="s">
        <v>38</v>
      </c>
      <c r="E27" s="54" t="s">
        <v>40</v>
      </c>
      <c r="F27" s="54" t="s">
        <v>39</v>
      </c>
      <c r="G27" s="54"/>
      <c r="H27" s="70">
        <v>0</v>
      </c>
      <c r="I27" s="20" t="s">
        <v>225</v>
      </c>
      <c r="J27" s="21">
        <v>42862</v>
      </c>
      <c r="K27" s="22">
        <v>3600</v>
      </c>
      <c r="L27" s="20"/>
      <c r="M27" s="20"/>
      <c r="N27" s="22"/>
      <c r="O27" s="20"/>
      <c r="P27" s="20"/>
      <c r="Q27" s="22"/>
      <c r="R27" s="10">
        <f>InvoiceTable[[#This Row],[Amount Line 1]]+InvoiceTable[[#This Row],[Amount Line 2]]+InvoiceTable[[#This Row],[Amount Line 3]]</f>
        <v>3600</v>
      </c>
      <c r="S27" s="44"/>
      <c r="T27" s="43">
        <f>InvoiceTable[[#This Row],[Agreed Amount Total]]+InvoiceTable[[#This Row],[Additional Expenses]]</f>
        <v>3600</v>
      </c>
      <c r="U27" s="43">
        <f>InvoiceTable[[#This Row],[Net Amount]]+InvoiceTable[[#This Row],[VAT to Pay]]</f>
        <v>3600</v>
      </c>
      <c r="V27" s="64">
        <v>15060</v>
      </c>
      <c r="W27" s="45">
        <v>43102</v>
      </c>
      <c r="X27" s="46">
        <f>IF(InvoiceTable[[#This Row],[Invoice Date]]="","",WORKDAY(InvoiceTable[[#This Row],[Invoice Date]],14))</f>
        <v>43122</v>
      </c>
      <c r="Y27" s="20" t="s">
        <v>144</v>
      </c>
      <c r="Z27" s="47">
        <v>43118</v>
      </c>
      <c r="AA27" s="43">
        <f>InvoiceTable[[#This Row],[Net Amount]]*InvoiceTable[[#This Row],[VAT]]</f>
        <v>0</v>
      </c>
      <c r="AB27" s="20"/>
      <c r="AC27" s="20"/>
      <c r="AD27" s="20"/>
      <c r="AE27" s="20"/>
      <c r="AF27" s="20"/>
      <c r="AG27" s="20"/>
      <c r="AH27" s="20"/>
      <c r="AI27" s="20"/>
      <c r="AJ27" s="20"/>
      <c r="AK27" s="20"/>
      <c r="AL27" s="20"/>
      <c r="AM27" s="20"/>
      <c r="AN27" s="20"/>
      <c r="AO27" s="20"/>
      <c r="AP27" s="20"/>
      <c r="AQ27" s="20"/>
      <c r="AR27" s="20"/>
      <c r="AS27" s="20"/>
      <c r="AT27" s="20"/>
      <c r="AU27" s="20"/>
      <c r="AV27" s="20"/>
      <c r="AW27" s="20"/>
    </row>
    <row r="28" spans="1:49" ht="28.5" x14ac:dyDescent="0.2">
      <c r="B28" s="49" t="s">
        <v>121</v>
      </c>
      <c r="C28" s="50" t="s">
        <v>11</v>
      </c>
      <c r="D28" s="51" t="s">
        <v>30</v>
      </c>
      <c r="E28" s="51" t="s">
        <v>32</v>
      </c>
      <c r="F28" s="51" t="s">
        <v>31</v>
      </c>
      <c r="G28" s="54"/>
      <c r="H28" s="70">
        <v>0</v>
      </c>
      <c r="I28" s="20" t="s">
        <v>226</v>
      </c>
      <c r="J28" s="21">
        <v>42869</v>
      </c>
      <c r="K28" s="22">
        <v>2700</v>
      </c>
      <c r="L28" s="20"/>
      <c r="M28" s="20"/>
      <c r="N28" s="22"/>
      <c r="O28" s="20"/>
      <c r="P28" s="20"/>
      <c r="Q28" s="22"/>
      <c r="R28" s="10">
        <f>InvoiceTable[[#This Row],[Amount Line 1]]+InvoiceTable[[#This Row],[Amount Line 2]]+InvoiceTable[[#This Row],[Amount Line 3]]</f>
        <v>2700</v>
      </c>
      <c r="S28" s="44"/>
      <c r="T28" s="43">
        <f>InvoiceTable[[#This Row],[Agreed Amount Total]]+InvoiceTable[[#This Row],[Additional Expenses]]</f>
        <v>2700</v>
      </c>
      <c r="U28" s="43">
        <f>InvoiceTable[[#This Row],[Net Amount]]+InvoiceTable[[#This Row],[VAT to Pay]]</f>
        <v>2700</v>
      </c>
      <c r="V28" s="64">
        <v>15061</v>
      </c>
      <c r="W28" s="45">
        <v>43102</v>
      </c>
      <c r="X28" s="46">
        <f>IF(InvoiceTable[[#This Row],[Invoice Date]]="","",WORKDAY(InvoiceTable[[#This Row],[Invoice Date]],14))</f>
        <v>43122</v>
      </c>
      <c r="Y28" s="20" t="s">
        <v>144</v>
      </c>
      <c r="Z28" s="47">
        <v>43113</v>
      </c>
      <c r="AA28" s="43">
        <f>InvoiceTable[[#This Row],[Net Amount]]*InvoiceTable[[#This Row],[VAT]]</f>
        <v>0</v>
      </c>
      <c r="AB28" s="20"/>
      <c r="AC28" s="20"/>
      <c r="AD28" s="20"/>
      <c r="AE28" s="20"/>
      <c r="AF28" s="20"/>
      <c r="AG28" s="20"/>
      <c r="AH28" s="20"/>
      <c r="AI28" s="20"/>
      <c r="AJ28" s="20"/>
      <c r="AK28" s="20"/>
      <c r="AL28" s="20"/>
      <c r="AM28" s="20"/>
      <c r="AN28" s="20"/>
      <c r="AO28" s="20"/>
      <c r="AP28" s="20"/>
      <c r="AQ28" s="20"/>
      <c r="AR28" s="20"/>
      <c r="AS28" s="20"/>
      <c r="AT28" s="20"/>
      <c r="AU28" s="20"/>
      <c r="AV28" s="20"/>
      <c r="AW28" s="20"/>
    </row>
    <row r="29" spans="1:49" x14ac:dyDescent="0.2">
      <c r="B29" s="20" t="s">
        <v>47</v>
      </c>
      <c r="C29" s="20" t="s">
        <v>85</v>
      </c>
      <c r="D29" s="54" t="s">
        <v>38</v>
      </c>
      <c r="E29" s="54" t="s">
        <v>40</v>
      </c>
      <c r="F29" s="54" t="s">
        <v>39</v>
      </c>
      <c r="G29" s="54"/>
      <c r="H29" s="70">
        <v>0</v>
      </c>
      <c r="I29" s="20" t="s">
        <v>225</v>
      </c>
      <c r="J29" s="21">
        <v>42880</v>
      </c>
      <c r="K29" s="22">
        <v>1800</v>
      </c>
      <c r="L29" s="20"/>
      <c r="M29" s="20"/>
      <c r="N29" s="22"/>
      <c r="O29" s="20"/>
      <c r="P29" s="20"/>
      <c r="Q29" s="22"/>
      <c r="R29" s="10">
        <f>InvoiceTable[[#This Row],[Amount Line 1]]+InvoiceTable[[#This Row],[Amount Line 2]]+InvoiceTable[[#This Row],[Amount Line 3]]</f>
        <v>1800</v>
      </c>
      <c r="S29" s="44"/>
      <c r="T29" s="43">
        <f>InvoiceTable[[#This Row],[Agreed Amount Total]]+InvoiceTable[[#This Row],[Additional Expenses]]</f>
        <v>1800</v>
      </c>
      <c r="U29" s="43">
        <f>InvoiceTable[[#This Row],[Net Amount]]+InvoiceTable[[#This Row],[VAT to Pay]]</f>
        <v>1800</v>
      </c>
      <c r="V29" s="64">
        <v>15064</v>
      </c>
      <c r="W29" s="45">
        <v>43112</v>
      </c>
      <c r="X29" s="46">
        <f>IF(InvoiceTable[[#This Row],[Invoice Date]]="","",WORKDAY(InvoiceTable[[#This Row],[Invoice Date]],14))</f>
        <v>43132</v>
      </c>
      <c r="Y29" s="20" t="s">
        <v>144</v>
      </c>
      <c r="Z29" s="47">
        <v>43132</v>
      </c>
      <c r="AA29" s="43">
        <f>InvoiceTable[[#This Row],[Net Amount]]*InvoiceTable[[#This Row],[VAT]]</f>
        <v>0</v>
      </c>
      <c r="AB29" s="20"/>
      <c r="AC29" s="20"/>
      <c r="AD29" s="20"/>
      <c r="AE29" s="20"/>
      <c r="AF29" s="20"/>
      <c r="AG29" s="20"/>
      <c r="AH29" s="20"/>
      <c r="AI29" s="20"/>
      <c r="AJ29" s="20"/>
      <c r="AK29" s="20"/>
      <c r="AL29" s="20"/>
      <c r="AM29" s="20"/>
      <c r="AN29" s="20"/>
      <c r="AO29" s="20"/>
      <c r="AP29" s="20"/>
      <c r="AQ29" s="20"/>
      <c r="AR29" s="20"/>
      <c r="AS29" s="20"/>
      <c r="AT29" s="20"/>
      <c r="AU29" s="20"/>
      <c r="AV29" s="20"/>
      <c r="AW29" s="20"/>
    </row>
    <row r="30" spans="1:49" x14ac:dyDescent="0.2">
      <c r="B30" s="30" t="s">
        <v>43</v>
      </c>
      <c r="C30" s="48" t="s">
        <v>9</v>
      </c>
      <c r="D30" s="42" t="s">
        <v>24</v>
      </c>
      <c r="E30" s="42" t="s">
        <v>25</v>
      </c>
      <c r="F30" s="42" t="s">
        <v>26</v>
      </c>
      <c r="G30" s="42"/>
      <c r="H30" s="70">
        <v>0</v>
      </c>
      <c r="I30" s="20" t="s">
        <v>225</v>
      </c>
      <c r="J30" s="21">
        <v>42900</v>
      </c>
      <c r="K30" s="22">
        <v>9900</v>
      </c>
      <c r="L30" s="20"/>
      <c r="M30" s="20"/>
      <c r="N30" s="22"/>
      <c r="O30" s="20"/>
      <c r="P30" s="20"/>
      <c r="Q30" s="22"/>
      <c r="R30" s="10">
        <f>InvoiceTable[[#This Row],[Amount Line 1]]+InvoiceTable[[#This Row],[Amount Line 2]]+InvoiceTable[[#This Row],[Amount Line 3]]</f>
        <v>9900</v>
      </c>
      <c r="S30" s="44"/>
      <c r="T30" s="43">
        <f>InvoiceTable[[#This Row],[Agreed Amount Total]]+InvoiceTable[[#This Row],[Additional Expenses]]</f>
        <v>9900</v>
      </c>
      <c r="U30" s="43">
        <f>InvoiceTable[[#This Row],[Net Amount]]+InvoiceTable[[#This Row],[VAT to Pay]]</f>
        <v>9900</v>
      </c>
      <c r="V30" s="64">
        <v>15065</v>
      </c>
      <c r="W30" s="45">
        <v>43133</v>
      </c>
      <c r="X30" s="46">
        <f>IF(InvoiceTable[[#This Row],[Invoice Date]]="","",WORKDAY(InvoiceTable[[#This Row],[Invoice Date]],14))</f>
        <v>43153</v>
      </c>
      <c r="Y30" s="20" t="s">
        <v>144</v>
      </c>
      <c r="Z30" s="47">
        <v>43151</v>
      </c>
      <c r="AA30" s="43">
        <f>InvoiceTable[[#This Row],[Net Amount]]*InvoiceTable[[#This Row],[VAT]]</f>
        <v>0</v>
      </c>
      <c r="AB30" s="20"/>
      <c r="AC30" s="20"/>
      <c r="AD30" s="20"/>
      <c r="AE30" s="20"/>
      <c r="AF30" s="20"/>
      <c r="AG30" s="20"/>
      <c r="AH30" s="20"/>
      <c r="AI30" s="20"/>
      <c r="AJ30" s="20"/>
      <c r="AK30" s="20"/>
      <c r="AL30" s="20"/>
      <c r="AM30" s="20"/>
      <c r="AN30" s="20"/>
      <c r="AO30" s="20"/>
      <c r="AP30" s="20"/>
      <c r="AQ30" s="20"/>
      <c r="AR30" s="20"/>
      <c r="AS30" s="20"/>
      <c r="AT30" s="20"/>
      <c r="AU30" s="20"/>
      <c r="AV30" s="20"/>
      <c r="AW30" s="20"/>
    </row>
    <row r="31" spans="1:49" x14ac:dyDescent="0.2">
      <c r="B31" s="30" t="s">
        <v>62</v>
      </c>
      <c r="C31" s="33" t="s">
        <v>79</v>
      </c>
      <c r="D31" s="42" t="s">
        <v>59</v>
      </c>
      <c r="E31" s="42" t="s">
        <v>60</v>
      </c>
      <c r="F31" s="42" t="s">
        <v>56</v>
      </c>
      <c r="G31" s="42" t="s">
        <v>110</v>
      </c>
      <c r="H31" s="69">
        <v>0.2</v>
      </c>
      <c r="I31" s="20" t="s">
        <v>225</v>
      </c>
      <c r="J31" s="21">
        <v>42900</v>
      </c>
      <c r="K31" s="22">
        <v>4500</v>
      </c>
      <c r="L31" s="20"/>
      <c r="M31" s="20"/>
      <c r="N31" s="22"/>
      <c r="O31" s="20"/>
      <c r="P31" s="20"/>
      <c r="Q31" s="22"/>
      <c r="R31" s="10">
        <f>InvoiceTable[[#This Row],[Amount Line 1]]+InvoiceTable[[#This Row],[Amount Line 2]]+InvoiceTable[[#This Row],[Amount Line 3]]</f>
        <v>4500</v>
      </c>
      <c r="S31" s="44"/>
      <c r="T31" s="43">
        <f>InvoiceTable[[#This Row],[Agreed Amount Total]]+InvoiceTable[[#This Row],[Additional Expenses]]</f>
        <v>4500</v>
      </c>
      <c r="U31" s="43">
        <f>InvoiceTable[[#This Row],[Net Amount]]+InvoiceTable[[#This Row],[VAT to Pay]]</f>
        <v>5400</v>
      </c>
      <c r="V31" s="64">
        <v>15066</v>
      </c>
      <c r="W31" s="45">
        <v>43133</v>
      </c>
      <c r="X31" s="46">
        <f>IF(InvoiceTable[[#This Row],[Invoice Date]]="","",WORKDAY(InvoiceTable[[#This Row],[Invoice Date]],14))</f>
        <v>43153</v>
      </c>
      <c r="Y31" s="20" t="s">
        <v>144</v>
      </c>
      <c r="Z31" s="47">
        <v>43159</v>
      </c>
      <c r="AA31" s="43">
        <f>InvoiceTable[[#This Row],[Net Amount]]*InvoiceTable[[#This Row],[VAT]]</f>
        <v>900</v>
      </c>
      <c r="AB31" s="20"/>
      <c r="AC31" s="20"/>
      <c r="AD31" s="20"/>
      <c r="AE31" s="20"/>
      <c r="AF31" s="20"/>
      <c r="AG31" s="20"/>
      <c r="AH31" s="20"/>
      <c r="AI31" s="20"/>
      <c r="AJ31" s="20"/>
      <c r="AK31" s="20"/>
      <c r="AL31" s="20"/>
      <c r="AM31" s="20"/>
      <c r="AN31" s="20"/>
      <c r="AO31" s="20"/>
      <c r="AP31" s="20"/>
      <c r="AQ31" s="20"/>
      <c r="AR31" s="20"/>
      <c r="AS31" s="20"/>
      <c r="AT31" s="20"/>
      <c r="AU31" s="20"/>
      <c r="AV31" s="20"/>
      <c r="AW31" s="20"/>
    </row>
    <row r="32" spans="1:49" x14ac:dyDescent="0.2">
      <c r="B32" s="30" t="s">
        <v>64</v>
      </c>
      <c r="C32" s="33" t="s">
        <v>81</v>
      </c>
      <c r="D32" s="42" t="s">
        <v>59</v>
      </c>
      <c r="E32" s="42" t="s">
        <v>60</v>
      </c>
      <c r="F32" s="42" t="s">
        <v>56</v>
      </c>
      <c r="G32" s="42" t="s">
        <v>107</v>
      </c>
      <c r="H32" s="69">
        <v>0.2</v>
      </c>
      <c r="I32" s="20" t="s">
        <v>225</v>
      </c>
      <c r="J32" s="21">
        <v>42900</v>
      </c>
      <c r="K32" s="22">
        <v>1800</v>
      </c>
      <c r="L32" s="20"/>
      <c r="M32" s="20"/>
      <c r="N32" s="22"/>
      <c r="O32" s="20"/>
      <c r="P32" s="20"/>
      <c r="Q32" s="22"/>
      <c r="R32" s="10">
        <f>InvoiceTable[[#This Row],[Amount Line 1]]+InvoiceTable[[#This Row],[Amount Line 2]]+InvoiceTable[[#This Row],[Amount Line 3]]</f>
        <v>1800</v>
      </c>
      <c r="S32" s="44"/>
      <c r="T32" s="43">
        <f>InvoiceTable[[#This Row],[Agreed Amount Total]]+InvoiceTable[[#This Row],[Additional Expenses]]</f>
        <v>1800</v>
      </c>
      <c r="U32" s="43">
        <f>InvoiceTable[[#This Row],[Net Amount]]+InvoiceTable[[#This Row],[VAT to Pay]]</f>
        <v>2160</v>
      </c>
      <c r="V32" s="64">
        <v>15067</v>
      </c>
      <c r="W32" s="45">
        <v>43133</v>
      </c>
      <c r="X32" s="46">
        <f>IF(InvoiceTable[[#This Row],[Invoice Date]]="","",WORKDAY(InvoiceTable[[#This Row],[Invoice Date]],14))</f>
        <v>43153</v>
      </c>
      <c r="Y32" s="20" t="s">
        <v>144</v>
      </c>
      <c r="Z32" s="47">
        <v>43151</v>
      </c>
      <c r="AA32" s="43">
        <f>InvoiceTable[[#This Row],[Net Amount]]*InvoiceTable[[#This Row],[VAT]]</f>
        <v>360</v>
      </c>
      <c r="AB32" s="20"/>
      <c r="AC32" s="20"/>
      <c r="AD32" s="20"/>
      <c r="AE32" s="20"/>
      <c r="AF32" s="20"/>
      <c r="AG32" s="20"/>
      <c r="AH32" s="20"/>
      <c r="AI32" s="20"/>
      <c r="AJ32" s="20"/>
      <c r="AK32" s="20"/>
      <c r="AL32" s="20"/>
      <c r="AM32" s="20"/>
      <c r="AN32" s="20"/>
      <c r="AO32" s="20"/>
      <c r="AP32" s="20"/>
      <c r="AQ32" s="20"/>
      <c r="AR32" s="20"/>
      <c r="AS32" s="20"/>
      <c r="AT32" s="20"/>
      <c r="AU32" s="20"/>
      <c r="AV32" s="20"/>
      <c r="AW32" s="20"/>
    </row>
    <row r="33" spans="2:49" x14ac:dyDescent="0.2">
      <c r="B33" s="30" t="s">
        <v>121</v>
      </c>
      <c r="C33" s="48" t="s">
        <v>11</v>
      </c>
      <c r="D33" s="42" t="s">
        <v>30</v>
      </c>
      <c r="E33" s="42" t="s">
        <v>32</v>
      </c>
      <c r="F33" s="42" t="s">
        <v>31</v>
      </c>
      <c r="G33" s="42"/>
      <c r="H33" s="69">
        <v>0</v>
      </c>
      <c r="I33" s="20" t="s">
        <v>227</v>
      </c>
      <c r="J33" s="21">
        <v>42901</v>
      </c>
      <c r="K33" s="22">
        <v>800</v>
      </c>
      <c r="L33" s="20"/>
      <c r="M33" s="20"/>
      <c r="N33" s="22"/>
      <c r="O33" s="20"/>
      <c r="P33" s="20"/>
      <c r="Q33" s="22"/>
      <c r="R33" s="10">
        <f>InvoiceTable[[#This Row],[Amount Line 1]]+InvoiceTable[[#This Row],[Amount Line 2]]+InvoiceTable[[#This Row],[Amount Line 3]]</f>
        <v>800</v>
      </c>
      <c r="S33" s="44"/>
      <c r="T33" s="43">
        <f>InvoiceTable[[#This Row],[Agreed Amount Total]]+InvoiceTable[[#This Row],[Additional Expenses]]</f>
        <v>800</v>
      </c>
      <c r="U33" s="43">
        <f>InvoiceTable[[#This Row],[Net Amount]]+InvoiceTable[[#This Row],[VAT to Pay]]</f>
        <v>800</v>
      </c>
      <c r="V33" s="64">
        <v>15068</v>
      </c>
      <c r="W33" s="45">
        <v>43133</v>
      </c>
      <c r="X33" s="46">
        <f>IF(InvoiceTable[[#This Row],[Invoice Date]]="","",WORKDAY(InvoiceTable[[#This Row],[Invoice Date]],14))</f>
        <v>43153</v>
      </c>
      <c r="Y33" s="20" t="s">
        <v>144</v>
      </c>
      <c r="Z33" s="47">
        <v>43159</v>
      </c>
      <c r="AA33" s="43">
        <f>InvoiceTable[[#This Row],[Net Amount]]*InvoiceTable[[#This Row],[VAT]]</f>
        <v>0</v>
      </c>
      <c r="AB33" s="20"/>
      <c r="AC33" s="20"/>
      <c r="AD33" s="20"/>
      <c r="AE33" s="20"/>
      <c r="AF33" s="20"/>
      <c r="AG33" s="20"/>
      <c r="AH33" s="20"/>
      <c r="AI33" s="20"/>
      <c r="AJ33" s="20"/>
      <c r="AK33" s="20"/>
      <c r="AL33" s="20"/>
      <c r="AM33" s="20"/>
      <c r="AN33" s="20"/>
      <c r="AO33" s="20"/>
      <c r="AP33" s="20"/>
      <c r="AQ33" s="20"/>
      <c r="AR33" s="20"/>
      <c r="AS33" s="20"/>
      <c r="AT33" s="20"/>
      <c r="AU33" s="20"/>
      <c r="AV33" s="20"/>
      <c r="AW33" s="20"/>
    </row>
    <row r="34" spans="2:49" x14ac:dyDescent="0.2">
      <c r="B34" s="49" t="s">
        <v>155</v>
      </c>
      <c r="C34" s="50" t="s">
        <v>86</v>
      </c>
      <c r="D34" s="51" t="s">
        <v>21</v>
      </c>
      <c r="E34" s="51" t="s">
        <v>22</v>
      </c>
      <c r="F34" s="51" t="s">
        <v>23</v>
      </c>
      <c r="G34" s="51"/>
      <c r="H34" s="71">
        <v>0</v>
      </c>
      <c r="I34" s="20" t="s">
        <v>227</v>
      </c>
      <c r="J34" s="21">
        <v>42945</v>
      </c>
      <c r="K34" s="22">
        <v>1800</v>
      </c>
      <c r="L34" s="20"/>
      <c r="M34" s="20"/>
      <c r="N34" s="22"/>
      <c r="O34" s="20"/>
      <c r="P34" s="20"/>
      <c r="Q34" s="22"/>
      <c r="R34" s="10">
        <f>InvoiceTable[[#This Row],[Amount Line 1]]+InvoiceTable[[#This Row],[Amount Line 2]]+InvoiceTable[[#This Row],[Amount Line 3]]</f>
        <v>1800</v>
      </c>
      <c r="S34" s="44"/>
      <c r="T34" s="43">
        <f>InvoiceTable[[#This Row],[Agreed Amount Total]]+InvoiceTable[[#This Row],[Additional Expenses]]</f>
        <v>1800</v>
      </c>
      <c r="U34" s="43">
        <f>InvoiceTable[[#This Row],[Net Amount]]+InvoiceTable[[#This Row],[VAT to Pay]]</f>
        <v>1800</v>
      </c>
      <c r="V34" s="64">
        <v>15069</v>
      </c>
      <c r="W34" s="45">
        <v>43147</v>
      </c>
      <c r="X34" s="46">
        <f>IF(InvoiceTable[[#This Row],[Invoice Date]]="","",WORKDAY(InvoiceTable[[#This Row],[Invoice Date]],14))</f>
        <v>43167</v>
      </c>
      <c r="Y34" s="20" t="s">
        <v>144</v>
      </c>
      <c r="Z34" s="47">
        <v>43161</v>
      </c>
      <c r="AA34" s="43">
        <f>InvoiceTable[[#This Row],[Net Amount]]*InvoiceTable[[#This Row],[VAT]]</f>
        <v>0</v>
      </c>
      <c r="AB34" s="20"/>
      <c r="AC34" s="20"/>
      <c r="AD34" s="20"/>
      <c r="AE34" s="20"/>
      <c r="AF34" s="20"/>
      <c r="AG34" s="20"/>
      <c r="AH34" s="20"/>
      <c r="AI34" s="20"/>
      <c r="AJ34" s="20"/>
      <c r="AK34" s="20"/>
      <c r="AL34" s="20"/>
      <c r="AM34" s="20"/>
      <c r="AN34" s="20"/>
      <c r="AO34" s="20"/>
      <c r="AP34" s="20"/>
      <c r="AQ34" s="20"/>
      <c r="AR34" s="20"/>
      <c r="AS34" s="20"/>
      <c r="AT34" s="20"/>
      <c r="AU34" s="20"/>
      <c r="AV34" s="20"/>
      <c r="AW34" s="20"/>
    </row>
    <row r="35" spans="2:49" x14ac:dyDescent="0.2">
      <c r="B35" s="49" t="s">
        <v>123</v>
      </c>
      <c r="C35" s="50" t="s">
        <v>17</v>
      </c>
      <c r="D35" s="51" t="s">
        <v>90</v>
      </c>
      <c r="E35" s="51" t="s">
        <v>91</v>
      </c>
      <c r="F35" s="51" t="s">
        <v>98</v>
      </c>
      <c r="G35" s="51" t="s">
        <v>119</v>
      </c>
      <c r="H35" s="71">
        <v>0.2</v>
      </c>
      <c r="I35" s="20" t="s">
        <v>227</v>
      </c>
      <c r="J35" s="21">
        <v>42957</v>
      </c>
      <c r="K35" s="22">
        <v>1800</v>
      </c>
      <c r="L35" s="20"/>
      <c r="M35" s="20"/>
      <c r="N35" s="22"/>
      <c r="O35" s="20"/>
      <c r="P35" s="20"/>
      <c r="Q35" s="22"/>
      <c r="R35" s="10">
        <f>InvoiceTable[[#This Row],[Amount Line 1]]+InvoiceTable[[#This Row],[Amount Line 2]]+InvoiceTable[[#This Row],[Amount Line 3]]</f>
        <v>1800</v>
      </c>
      <c r="S35" s="44"/>
      <c r="T35" s="43">
        <f>InvoiceTable[[#This Row],[Agreed Amount Total]]+InvoiceTable[[#This Row],[Additional Expenses]]</f>
        <v>1800</v>
      </c>
      <c r="U35" s="43">
        <f>InvoiceTable[[#This Row],[Net Amount]]+InvoiceTable[[#This Row],[VAT to Pay]]</f>
        <v>2160</v>
      </c>
      <c r="V35" s="64">
        <v>15070</v>
      </c>
      <c r="W35" s="45">
        <v>43159</v>
      </c>
      <c r="X35" s="46">
        <f>IF(InvoiceTable[[#This Row],[Invoice Date]]="","",WORKDAY(InvoiceTable[[#This Row],[Invoice Date]],14))</f>
        <v>43179</v>
      </c>
      <c r="Y35" s="20" t="s">
        <v>144</v>
      </c>
      <c r="Z35" s="47">
        <v>43176</v>
      </c>
      <c r="AA35" s="43">
        <f>InvoiceTable[[#This Row],[Net Amount]]*InvoiceTable[[#This Row],[VAT]]</f>
        <v>360</v>
      </c>
      <c r="AB35" s="20"/>
      <c r="AC35" s="20"/>
      <c r="AD35" s="20"/>
      <c r="AE35" s="20"/>
      <c r="AF35" s="20"/>
      <c r="AG35" s="20"/>
      <c r="AH35" s="20"/>
      <c r="AI35" s="20"/>
      <c r="AJ35" s="20"/>
      <c r="AK35" s="20"/>
      <c r="AL35" s="20"/>
      <c r="AM35" s="20"/>
      <c r="AN35" s="20"/>
      <c r="AO35" s="20"/>
      <c r="AP35" s="20"/>
      <c r="AQ35" s="20"/>
      <c r="AR35" s="20"/>
      <c r="AS35" s="20"/>
      <c r="AT35" s="20"/>
      <c r="AU35" s="20"/>
      <c r="AV35" s="20"/>
      <c r="AW35" s="20"/>
    </row>
    <row r="36" spans="2:49" x14ac:dyDescent="0.2">
      <c r="B36" s="20" t="s">
        <v>65</v>
      </c>
      <c r="C36" s="20" t="s">
        <v>16</v>
      </c>
      <c r="D36" s="54" t="s">
        <v>54</v>
      </c>
      <c r="E36" s="54" t="s">
        <v>55</v>
      </c>
      <c r="F36" s="54" t="s">
        <v>56</v>
      </c>
      <c r="G36" s="54" t="s">
        <v>108</v>
      </c>
      <c r="H36" s="70">
        <v>0.2</v>
      </c>
      <c r="I36" s="20" t="s">
        <v>227</v>
      </c>
      <c r="J36" s="21">
        <v>42981</v>
      </c>
      <c r="K36" s="22">
        <v>5130</v>
      </c>
      <c r="L36" s="20"/>
      <c r="M36" s="20"/>
      <c r="N36" s="22"/>
      <c r="O36" s="20"/>
      <c r="P36" s="20"/>
      <c r="Q36" s="22"/>
      <c r="R36" s="10">
        <f>InvoiceTable[[#This Row],[Amount Line 1]]+InvoiceTable[[#This Row],[Amount Line 2]]+InvoiceTable[[#This Row],[Amount Line 3]]</f>
        <v>5130</v>
      </c>
      <c r="S36" s="44"/>
      <c r="T36" s="43">
        <f>InvoiceTable[[#This Row],[Agreed Amount Total]]+InvoiceTable[[#This Row],[Additional Expenses]]</f>
        <v>5130</v>
      </c>
      <c r="U36" s="43">
        <f>InvoiceTable[[#This Row],[Net Amount]]+InvoiceTable[[#This Row],[VAT to Pay]]</f>
        <v>6156</v>
      </c>
      <c r="V36" s="64">
        <v>15071</v>
      </c>
      <c r="W36" s="45">
        <v>43152</v>
      </c>
      <c r="X36" s="46">
        <f>IF(InvoiceTable[[#This Row],[Invoice Date]]="","",WORKDAY(InvoiceTable[[#This Row],[Invoice Date]],14))</f>
        <v>43172</v>
      </c>
      <c r="Y36" s="20" t="s">
        <v>144</v>
      </c>
      <c r="Z36" s="47">
        <v>43169</v>
      </c>
      <c r="AA36" s="43">
        <f>InvoiceTable[[#This Row],[Net Amount]]*InvoiceTable[[#This Row],[VAT]]</f>
        <v>1026</v>
      </c>
      <c r="AB36" s="20"/>
      <c r="AC36" s="20"/>
      <c r="AD36" s="20"/>
      <c r="AE36" s="20"/>
      <c r="AF36" s="20"/>
      <c r="AG36" s="20"/>
      <c r="AH36" s="20"/>
      <c r="AI36" s="20"/>
      <c r="AJ36" s="20"/>
      <c r="AK36" s="20"/>
      <c r="AL36" s="20"/>
      <c r="AM36" s="20"/>
      <c r="AN36" s="20"/>
      <c r="AO36" s="20"/>
      <c r="AP36" s="20"/>
      <c r="AQ36" s="20"/>
      <c r="AR36" s="20"/>
      <c r="AS36" s="20"/>
      <c r="AT36" s="20"/>
      <c r="AU36" s="20"/>
      <c r="AV36" s="20"/>
      <c r="AW36" s="20"/>
    </row>
    <row r="37" spans="2:49" ht="28.5" x14ac:dyDescent="0.2">
      <c r="B37" s="20" t="s">
        <v>46</v>
      </c>
      <c r="C37" s="20" t="s">
        <v>84</v>
      </c>
      <c r="D37" s="54" t="s">
        <v>38</v>
      </c>
      <c r="E37" s="54" t="s">
        <v>40</v>
      </c>
      <c r="F37" s="54" t="s">
        <v>39</v>
      </c>
      <c r="G37" s="54"/>
      <c r="H37" s="70">
        <v>0</v>
      </c>
      <c r="I37" s="20" t="s">
        <v>226</v>
      </c>
      <c r="J37" s="21">
        <v>42986</v>
      </c>
      <c r="K37" s="22">
        <v>1800</v>
      </c>
      <c r="L37" s="20"/>
      <c r="M37" s="20"/>
      <c r="N37" s="22"/>
      <c r="O37" s="20"/>
      <c r="P37" s="20"/>
      <c r="Q37" s="22"/>
      <c r="R37" s="10">
        <f>InvoiceTable[[#This Row],[Amount Line 1]]+InvoiceTable[[#This Row],[Amount Line 2]]+InvoiceTable[[#This Row],[Amount Line 3]]</f>
        <v>1800</v>
      </c>
      <c r="S37" s="44"/>
      <c r="T37" s="43">
        <f>InvoiceTable[[#This Row],[Agreed Amount Total]]+InvoiceTable[[#This Row],[Additional Expenses]]</f>
        <v>1800</v>
      </c>
      <c r="U37" s="43">
        <f>InvoiceTable[[#This Row],[Net Amount]]+InvoiceTable[[#This Row],[VAT to Pay]]</f>
        <v>1800</v>
      </c>
      <c r="V37" s="64">
        <v>15073</v>
      </c>
      <c r="W37" s="45">
        <v>43161</v>
      </c>
      <c r="X37" s="46">
        <f>IF(InvoiceTable[[#This Row],[Invoice Date]]="","",WORKDAY(InvoiceTable[[#This Row],[Invoice Date]],14))</f>
        <v>43181</v>
      </c>
      <c r="Y37" s="20"/>
      <c r="Z37" s="47">
        <v>43179</v>
      </c>
      <c r="AA37" s="43">
        <f>InvoiceTable[[#This Row],[Net Amount]]*InvoiceTable[[#This Row],[VAT]]</f>
        <v>0</v>
      </c>
      <c r="AB37" s="20"/>
      <c r="AC37" s="20"/>
      <c r="AD37" s="20"/>
      <c r="AE37" s="20"/>
      <c r="AF37" s="20"/>
      <c r="AG37" s="20"/>
      <c r="AH37" s="20"/>
      <c r="AI37" s="20"/>
      <c r="AJ37" s="20"/>
      <c r="AK37" s="20"/>
      <c r="AL37" s="20"/>
      <c r="AM37" s="20"/>
      <c r="AN37" s="20"/>
      <c r="AO37" s="20"/>
      <c r="AP37" s="20"/>
      <c r="AQ37" s="20"/>
      <c r="AR37" s="20"/>
      <c r="AS37" s="20"/>
      <c r="AT37" s="20"/>
      <c r="AU37" s="20"/>
      <c r="AV37" s="20"/>
      <c r="AW37" s="20"/>
    </row>
    <row r="38" spans="2:49" ht="28.5" x14ac:dyDescent="0.2">
      <c r="B38" s="20" t="s">
        <v>71</v>
      </c>
      <c r="C38" s="20" t="s">
        <v>19</v>
      </c>
      <c r="D38" s="54" t="s">
        <v>72</v>
      </c>
      <c r="E38" s="54" t="s">
        <v>73</v>
      </c>
      <c r="F38" s="54" t="s">
        <v>69</v>
      </c>
      <c r="G38" s="54" t="s">
        <v>105</v>
      </c>
      <c r="H38" s="70">
        <v>0.19</v>
      </c>
      <c r="I38" s="20" t="s">
        <v>226</v>
      </c>
      <c r="J38" s="21">
        <v>43027</v>
      </c>
      <c r="K38" s="22">
        <v>6750</v>
      </c>
      <c r="L38" s="20"/>
      <c r="M38" s="20"/>
      <c r="N38" s="22"/>
      <c r="O38" s="20"/>
      <c r="P38" s="20"/>
      <c r="Q38" s="22"/>
      <c r="R38" s="10">
        <f>InvoiceTable[[#This Row],[Amount Line 1]]+InvoiceTable[[#This Row],[Amount Line 2]]+InvoiceTable[[#This Row],[Amount Line 3]]</f>
        <v>6750</v>
      </c>
      <c r="S38" s="44"/>
      <c r="T38" s="43">
        <f>InvoiceTable[[#This Row],[Agreed Amount Total]]+InvoiceTable[[#This Row],[Additional Expenses]]</f>
        <v>6750</v>
      </c>
      <c r="U38" s="43">
        <f>InvoiceTable[[#This Row],[Net Amount]]+InvoiceTable[[#This Row],[VAT to Pay]]</f>
        <v>8032.5</v>
      </c>
      <c r="V38" s="64">
        <v>15074</v>
      </c>
      <c r="W38" s="45">
        <v>43161</v>
      </c>
      <c r="X38" s="46">
        <f>IF(InvoiceTable[[#This Row],[Invoice Date]]="","",WORKDAY(InvoiceTable[[#This Row],[Invoice Date]],14))</f>
        <v>43181</v>
      </c>
      <c r="Y38" s="20" t="s">
        <v>266</v>
      </c>
      <c r="Z38" s="47">
        <v>43180</v>
      </c>
      <c r="AA38" s="43">
        <f>InvoiceTable[[#This Row],[Net Amount]]*InvoiceTable[[#This Row],[VAT]]</f>
        <v>1282.5</v>
      </c>
      <c r="AB38" s="20"/>
      <c r="AC38" s="20"/>
      <c r="AD38" s="20"/>
      <c r="AE38" s="20"/>
      <c r="AF38" s="20"/>
      <c r="AG38" s="20"/>
      <c r="AH38" s="20"/>
      <c r="AI38" s="20"/>
      <c r="AJ38" s="20"/>
      <c r="AK38" s="20"/>
      <c r="AL38" s="20"/>
      <c r="AM38" s="20"/>
      <c r="AN38" s="20"/>
      <c r="AO38" s="20"/>
      <c r="AP38" s="20"/>
      <c r="AQ38" s="20"/>
      <c r="AR38" s="20"/>
      <c r="AS38" s="20"/>
      <c r="AT38" s="20"/>
      <c r="AU38" s="20"/>
      <c r="AV38" s="20"/>
      <c r="AW38" s="20"/>
    </row>
    <row r="39" spans="2:49" x14ac:dyDescent="0.2">
      <c r="B39" s="20"/>
      <c r="C39" s="20"/>
      <c r="D39" s="20"/>
      <c r="E39" s="20"/>
      <c r="F39" s="20"/>
      <c r="G39" s="20"/>
      <c r="H39" s="61"/>
      <c r="I39" s="20"/>
      <c r="J39" s="20"/>
      <c r="K39" s="22"/>
      <c r="L39" s="20"/>
      <c r="M39" s="20"/>
      <c r="N39" s="22"/>
      <c r="O39" s="20"/>
      <c r="P39" s="20"/>
      <c r="Q39" s="22"/>
      <c r="R39" s="20"/>
      <c r="S39" s="20"/>
      <c r="T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row>
    <row r="40" spans="2:49" x14ac:dyDescent="0.2">
      <c r="B40" s="20"/>
      <c r="C40" s="20"/>
      <c r="D40" s="20"/>
      <c r="E40" s="20"/>
      <c r="F40" s="20"/>
      <c r="G40" s="20"/>
      <c r="H40" s="61"/>
      <c r="I40" s="20"/>
      <c r="J40" s="20"/>
      <c r="K40" s="22"/>
      <c r="L40" s="20"/>
      <c r="M40" s="20"/>
      <c r="N40" s="22"/>
      <c r="O40" s="20"/>
      <c r="P40" s="20"/>
      <c r="Q40" s="22"/>
      <c r="R40" s="20"/>
      <c r="S40" s="20"/>
      <c r="T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row>
    <row r="41" spans="2:49" x14ac:dyDescent="0.2">
      <c r="B41" s="20"/>
      <c r="C41" s="20"/>
      <c r="D41" s="20"/>
      <c r="E41" s="20"/>
      <c r="F41" s="20"/>
      <c r="G41" s="20"/>
      <c r="H41" s="61"/>
      <c r="I41" s="20"/>
      <c r="J41" s="20"/>
      <c r="K41" s="22"/>
      <c r="L41" s="20"/>
      <c r="M41" s="20"/>
      <c r="N41" s="22"/>
      <c r="O41" s="20"/>
      <c r="P41" s="20"/>
      <c r="Q41" s="22"/>
      <c r="R41" s="20"/>
      <c r="S41" s="20"/>
      <c r="T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row>
    <row r="42" spans="2:49" x14ac:dyDescent="0.2">
      <c r="B42" s="20"/>
      <c r="C42" s="20"/>
      <c r="D42" s="20"/>
      <c r="E42" s="20"/>
      <c r="F42" s="20"/>
      <c r="G42" s="20"/>
      <c r="H42" s="61"/>
      <c r="I42" s="20"/>
      <c r="J42" s="20"/>
      <c r="K42" s="22"/>
      <c r="L42" s="20"/>
      <c r="M42" s="20"/>
      <c r="N42" s="22"/>
      <c r="O42" s="20"/>
      <c r="P42" s="20"/>
      <c r="Q42" s="22"/>
      <c r="R42" s="20"/>
      <c r="S42" s="20"/>
      <c r="T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row>
    <row r="43" spans="2:49" x14ac:dyDescent="0.2">
      <c r="B43" s="20"/>
      <c r="C43" s="20"/>
      <c r="D43" s="20"/>
      <c r="E43" s="20"/>
      <c r="F43" s="20"/>
      <c r="G43" s="20"/>
      <c r="H43" s="61"/>
      <c r="I43" s="20"/>
      <c r="J43" s="20"/>
      <c r="K43" s="22"/>
      <c r="L43" s="20"/>
      <c r="M43" s="20"/>
      <c r="N43" s="22"/>
      <c r="O43" s="20"/>
      <c r="P43" s="20"/>
      <c r="Q43" s="22"/>
      <c r="R43" s="20"/>
      <c r="S43" s="20"/>
      <c r="T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row>
    <row r="44" spans="2:49" x14ac:dyDescent="0.2">
      <c r="B44" s="20"/>
      <c r="C44" s="20"/>
      <c r="D44" s="20"/>
      <c r="E44" s="20"/>
      <c r="F44" s="20"/>
      <c r="G44" s="20"/>
      <c r="H44" s="61"/>
      <c r="I44" s="20"/>
      <c r="J44" s="20"/>
      <c r="K44" s="22"/>
      <c r="L44" s="20"/>
      <c r="M44" s="20"/>
      <c r="N44" s="22"/>
      <c r="O44" s="20"/>
      <c r="P44" s="20"/>
      <c r="Q44" s="22"/>
      <c r="R44" s="20"/>
      <c r="S44" s="20"/>
      <c r="T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row>
    <row r="45" spans="2:49" x14ac:dyDescent="0.2">
      <c r="B45" s="20"/>
      <c r="C45" s="20"/>
      <c r="D45" s="20"/>
      <c r="E45" s="20"/>
      <c r="F45" s="20"/>
      <c r="G45" s="20"/>
      <c r="H45" s="61"/>
      <c r="I45" s="20"/>
      <c r="J45" s="20"/>
      <c r="K45" s="22"/>
      <c r="L45" s="20"/>
      <c r="M45" s="20"/>
      <c r="N45" s="22"/>
      <c r="O45" s="20"/>
      <c r="P45" s="20"/>
      <c r="Q45" s="22"/>
      <c r="R45" s="20"/>
      <c r="S45" s="20"/>
      <c r="T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row>
    <row r="46" spans="2:49" x14ac:dyDescent="0.2">
      <c r="B46" s="20"/>
      <c r="C46" s="20"/>
      <c r="D46" s="20"/>
      <c r="E46" s="20"/>
      <c r="F46" s="20"/>
      <c r="G46" s="20"/>
      <c r="H46" s="61"/>
      <c r="I46" s="20"/>
      <c r="J46" s="20"/>
      <c r="K46" s="22"/>
      <c r="L46" s="20"/>
      <c r="M46" s="20"/>
      <c r="N46" s="22"/>
      <c r="O46" s="20"/>
      <c r="P46" s="20"/>
      <c r="Q46" s="22"/>
      <c r="R46" s="20"/>
      <c r="S46" s="20"/>
      <c r="T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row>
    <row r="47" spans="2:49" x14ac:dyDescent="0.2">
      <c r="B47" s="20"/>
      <c r="C47" s="20"/>
      <c r="D47" s="20"/>
      <c r="E47" s="20"/>
      <c r="F47" s="20"/>
      <c r="G47" s="20"/>
      <c r="H47" s="61"/>
      <c r="I47" s="20"/>
      <c r="J47" s="20"/>
      <c r="K47" s="22"/>
      <c r="L47" s="20"/>
      <c r="M47" s="20"/>
      <c r="N47" s="22"/>
      <c r="O47" s="20"/>
      <c r="P47" s="20"/>
      <c r="Q47" s="22"/>
      <c r="R47" s="20"/>
      <c r="S47" s="20"/>
      <c r="T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row>
    <row r="48" spans="2:49" x14ac:dyDescent="0.2">
      <c r="B48" s="20"/>
      <c r="C48" s="20"/>
      <c r="D48" s="20"/>
      <c r="E48" s="20"/>
      <c r="F48" s="20"/>
      <c r="G48" s="20"/>
      <c r="H48" s="61"/>
      <c r="I48" s="20"/>
      <c r="J48" s="20"/>
      <c r="K48" s="22"/>
      <c r="L48" s="20"/>
      <c r="M48" s="20"/>
      <c r="N48" s="22"/>
      <c r="O48" s="20"/>
      <c r="P48" s="20"/>
      <c r="Q48" s="22"/>
      <c r="R48" s="20"/>
      <c r="S48" s="20"/>
      <c r="T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row>
    <row r="49" spans="2:49" x14ac:dyDescent="0.2">
      <c r="B49" s="20"/>
      <c r="C49" s="20"/>
      <c r="D49" s="20"/>
      <c r="E49" s="20"/>
      <c r="F49" s="20"/>
      <c r="G49" s="20"/>
      <c r="H49" s="61"/>
      <c r="I49" s="20"/>
      <c r="J49" s="20"/>
      <c r="K49" s="22"/>
      <c r="L49" s="20"/>
      <c r="M49" s="20"/>
      <c r="N49" s="22"/>
      <c r="O49" s="20"/>
      <c r="P49" s="20"/>
      <c r="Q49" s="22"/>
      <c r="R49" s="20"/>
      <c r="S49" s="20"/>
      <c r="T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row>
    <row r="50" spans="2:49" x14ac:dyDescent="0.2">
      <c r="B50" s="20"/>
      <c r="C50" s="20"/>
      <c r="D50" s="20"/>
      <c r="E50" s="20"/>
      <c r="F50" s="20"/>
      <c r="G50" s="20"/>
      <c r="H50" s="61"/>
      <c r="I50" s="20"/>
      <c r="J50" s="20"/>
      <c r="K50" s="22"/>
      <c r="L50" s="20"/>
      <c r="M50" s="20"/>
      <c r="N50" s="22"/>
      <c r="O50" s="20"/>
      <c r="P50" s="20"/>
      <c r="Q50" s="22"/>
      <c r="R50" s="20"/>
      <c r="S50" s="20"/>
      <c r="T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row>
    <row r="51" spans="2:49" x14ac:dyDescent="0.2">
      <c r="B51" s="20"/>
      <c r="C51" s="20"/>
      <c r="D51" s="20"/>
      <c r="E51" s="20"/>
      <c r="F51" s="20"/>
      <c r="G51" s="20"/>
      <c r="H51" s="61"/>
      <c r="I51" s="20"/>
      <c r="J51" s="20"/>
      <c r="K51" s="22"/>
      <c r="L51" s="20"/>
      <c r="M51" s="20"/>
      <c r="N51" s="22"/>
      <c r="O51" s="20"/>
      <c r="P51" s="20"/>
      <c r="Q51" s="22"/>
      <c r="R51" s="20"/>
      <c r="S51" s="20"/>
      <c r="T51" s="20"/>
      <c r="W51" s="20"/>
      <c r="X51" s="20"/>
      <c r="Y51" s="20"/>
      <c r="Z51" s="20"/>
      <c r="AA51" s="20"/>
      <c r="AB51" s="20"/>
      <c r="AC51" s="20"/>
      <c r="AD51" s="20"/>
      <c r="AE51" s="20"/>
      <c r="AF51" s="20"/>
      <c r="AG51" s="20"/>
      <c r="AH51" s="20"/>
      <c r="AI51" s="20"/>
      <c r="AJ51" s="20"/>
      <c r="AK51" s="20"/>
      <c r="AL51" s="20"/>
      <c r="AM51" s="20"/>
      <c r="AN51" s="20"/>
      <c r="AO51" s="20"/>
      <c r="AP51" s="20"/>
      <c r="AQ51" s="20"/>
      <c r="AR51" s="20"/>
      <c r="AS51" s="20"/>
      <c r="AT51" s="20"/>
      <c r="AU51" s="20"/>
      <c r="AV51" s="20"/>
      <c r="AW51" s="20"/>
    </row>
    <row r="52" spans="2:49" x14ac:dyDescent="0.2">
      <c r="B52" s="20"/>
      <c r="C52" s="20"/>
      <c r="D52" s="20"/>
      <c r="E52" s="20"/>
      <c r="F52" s="20"/>
      <c r="G52" s="20"/>
      <c r="H52" s="61"/>
      <c r="I52" s="20"/>
      <c r="J52" s="20"/>
      <c r="K52" s="22"/>
      <c r="L52" s="20"/>
      <c r="M52" s="20"/>
      <c r="N52" s="22"/>
      <c r="O52" s="20"/>
      <c r="P52" s="20"/>
      <c r="Q52" s="22"/>
      <c r="R52" s="20"/>
      <c r="S52" s="20"/>
      <c r="T52" s="20"/>
      <c r="W52" s="20"/>
      <c r="X52" s="20"/>
      <c r="Y52" s="20"/>
      <c r="Z52" s="20"/>
      <c r="AA52" s="20"/>
      <c r="AB52" s="20"/>
      <c r="AC52" s="20"/>
      <c r="AD52" s="20"/>
      <c r="AE52" s="20"/>
      <c r="AF52" s="20"/>
      <c r="AG52" s="20"/>
      <c r="AH52" s="20"/>
      <c r="AI52" s="20"/>
      <c r="AJ52" s="20"/>
      <c r="AK52" s="20"/>
      <c r="AL52" s="20"/>
      <c r="AM52" s="20"/>
      <c r="AN52" s="20"/>
      <c r="AO52" s="20"/>
      <c r="AP52" s="20"/>
      <c r="AQ52" s="20"/>
      <c r="AR52" s="20"/>
      <c r="AS52" s="20"/>
      <c r="AT52" s="20"/>
      <c r="AU52" s="20"/>
      <c r="AV52" s="20"/>
      <c r="AW52" s="20"/>
    </row>
    <row r="53" spans="2:49" x14ac:dyDescent="0.2">
      <c r="B53" s="20"/>
      <c r="C53" s="20"/>
      <c r="D53" s="20"/>
      <c r="E53" s="20"/>
      <c r="F53" s="20"/>
      <c r="G53" s="20"/>
      <c r="H53" s="61"/>
      <c r="I53" s="20"/>
      <c r="J53" s="20"/>
      <c r="K53" s="22"/>
      <c r="L53" s="20"/>
      <c r="M53" s="20"/>
      <c r="N53" s="22"/>
      <c r="O53" s="20"/>
      <c r="P53" s="20"/>
      <c r="Q53" s="22"/>
      <c r="R53" s="20"/>
      <c r="S53" s="20"/>
      <c r="T53" s="20"/>
      <c r="W53" s="20"/>
      <c r="X53" s="20"/>
      <c r="Y53" s="20"/>
      <c r="Z53" s="20"/>
      <c r="AA53" s="20"/>
      <c r="AB53" s="20"/>
      <c r="AC53" s="20"/>
      <c r="AD53" s="20"/>
      <c r="AE53" s="20"/>
      <c r="AF53" s="20"/>
      <c r="AG53" s="20"/>
      <c r="AH53" s="20"/>
      <c r="AI53" s="20"/>
      <c r="AJ53" s="20"/>
      <c r="AK53" s="20"/>
      <c r="AL53" s="20"/>
      <c r="AM53" s="20"/>
      <c r="AN53" s="20"/>
      <c r="AO53" s="20"/>
      <c r="AP53" s="20"/>
      <c r="AQ53" s="20"/>
      <c r="AR53" s="20"/>
      <c r="AS53" s="20"/>
      <c r="AT53" s="20"/>
      <c r="AU53" s="20"/>
      <c r="AV53" s="20"/>
      <c r="AW53" s="20"/>
    </row>
    <row r="54" spans="2:49" x14ac:dyDescent="0.2">
      <c r="B54" s="20"/>
      <c r="C54" s="20"/>
      <c r="D54" s="20"/>
      <c r="E54" s="20"/>
      <c r="F54" s="20"/>
      <c r="G54" s="20"/>
      <c r="H54" s="61"/>
      <c r="I54" s="20"/>
      <c r="J54" s="20"/>
      <c r="K54" s="22"/>
      <c r="L54" s="20"/>
      <c r="M54" s="20"/>
      <c r="N54" s="22"/>
      <c r="O54" s="20"/>
      <c r="P54" s="20"/>
      <c r="Q54" s="22"/>
      <c r="R54" s="20"/>
      <c r="S54" s="20"/>
      <c r="T54" s="20"/>
      <c r="W54" s="20"/>
      <c r="X54" s="20"/>
      <c r="Y54" s="20"/>
      <c r="Z54" s="20"/>
      <c r="AA54" s="20"/>
      <c r="AB54" s="20"/>
      <c r="AC54" s="20"/>
      <c r="AD54" s="20"/>
      <c r="AE54" s="20"/>
      <c r="AF54" s="20"/>
      <c r="AG54" s="20"/>
      <c r="AH54" s="20"/>
      <c r="AI54" s="20"/>
      <c r="AJ54" s="20"/>
      <c r="AK54" s="20"/>
      <c r="AL54" s="20"/>
      <c r="AM54" s="20"/>
      <c r="AN54" s="20"/>
      <c r="AO54" s="20"/>
      <c r="AP54" s="20"/>
      <c r="AQ54" s="20"/>
      <c r="AR54" s="20"/>
      <c r="AS54" s="20"/>
      <c r="AT54" s="20"/>
      <c r="AU54" s="20"/>
      <c r="AV54" s="20"/>
      <c r="AW54" s="20"/>
    </row>
    <row r="55" spans="2:49" x14ac:dyDescent="0.2">
      <c r="B55" s="20"/>
      <c r="C55" s="20"/>
      <c r="D55" s="20"/>
      <c r="E55" s="20"/>
      <c r="F55" s="20"/>
      <c r="G55" s="20"/>
      <c r="H55" s="61"/>
      <c r="I55" s="20"/>
      <c r="J55" s="20"/>
      <c r="K55" s="22"/>
      <c r="L55" s="20"/>
      <c r="M55" s="20"/>
      <c r="N55" s="22"/>
      <c r="O55" s="20"/>
      <c r="P55" s="20"/>
      <c r="Q55" s="22"/>
      <c r="R55" s="20"/>
      <c r="S55" s="20"/>
      <c r="T55" s="20"/>
      <c r="W55" s="20"/>
      <c r="X55" s="20"/>
      <c r="Y55" s="20"/>
      <c r="Z55" s="20"/>
      <c r="AA55" s="20"/>
      <c r="AB55" s="20"/>
      <c r="AC55" s="20"/>
      <c r="AD55" s="20"/>
      <c r="AE55" s="20"/>
      <c r="AF55" s="20"/>
      <c r="AG55" s="20"/>
      <c r="AH55" s="20"/>
      <c r="AI55" s="20"/>
      <c r="AJ55" s="20"/>
      <c r="AK55" s="20"/>
      <c r="AL55" s="20"/>
      <c r="AM55" s="20"/>
      <c r="AN55" s="20"/>
      <c r="AO55" s="20"/>
      <c r="AP55" s="20"/>
      <c r="AQ55" s="20"/>
      <c r="AR55" s="20"/>
      <c r="AS55" s="20"/>
      <c r="AT55" s="20"/>
      <c r="AU55" s="20"/>
      <c r="AV55" s="20"/>
      <c r="AW55" s="20"/>
    </row>
    <row r="56" spans="2:49" x14ac:dyDescent="0.2">
      <c r="B56" s="20"/>
      <c r="C56" s="20"/>
      <c r="D56" s="20"/>
      <c r="E56" s="20"/>
      <c r="F56" s="20"/>
      <c r="G56" s="20"/>
      <c r="H56" s="61"/>
      <c r="I56" s="20"/>
      <c r="J56" s="20"/>
      <c r="K56" s="22"/>
      <c r="L56" s="20"/>
      <c r="M56" s="20"/>
      <c r="N56" s="22"/>
      <c r="O56" s="20"/>
      <c r="P56" s="20"/>
      <c r="Q56" s="22"/>
      <c r="R56" s="20"/>
      <c r="S56" s="20"/>
      <c r="T56" s="20"/>
      <c r="W56" s="20"/>
      <c r="X56" s="20"/>
      <c r="Y56" s="20"/>
      <c r="Z56" s="20"/>
      <c r="AA56" s="20"/>
      <c r="AB56" s="20"/>
      <c r="AC56" s="20"/>
      <c r="AD56" s="20"/>
      <c r="AE56" s="20"/>
      <c r="AF56" s="20"/>
      <c r="AG56" s="20"/>
      <c r="AH56" s="20"/>
      <c r="AI56" s="20"/>
      <c r="AJ56" s="20"/>
      <c r="AK56" s="20"/>
      <c r="AL56" s="20"/>
      <c r="AM56" s="20"/>
      <c r="AN56" s="20"/>
      <c r="AO56" s="20"/>
      <c r="AP56" s="20"/>
      <c r="AQ56" s="20"/>
      <c r="AR56" s="20"/>
      <c r="AS56" s="20"/>
      <c r="AT56" s="20"/>
      <c r="AU56" s="20"/>
      <c r="AV56" s="20"/>
      <c r="AW56" s="20"/>
    </row>
    <row r="57" spans="2:49" x14ac:dyDescent="0.2">
      <c r="B57" s="20"/>
      <c r="C57" s="20"/>
      <c r="D57" s="20"/>
      <c r="E57" s="20"/>
      <c r="F57" s="20"/>
      <c r="G57" s="20"/>
      <c r="H57" s="61"/>
      <c r="I57" s="20"/>
      <c r="J57" s="20"/>
      <c r="K57" s="22"/>
      <c r="L57" s="20"/>
      <c r="M57" s="20"/>
      <c r="N57" s="22"/>
      <c r="O57" s="20"/>
      <c r="P57" s="20"/>
      <c r="Q57" s="22"/>
      <c r="R57" s="20"/>
      <c r="S57" s="20"/>
      <c r="T57" s="20"/>
      <c r="W57" s="20"/>
      <c r="X57" s="20"/>
      <c r="Y57" s="20"/>
      <c r="Z57" s="20"/>
      <c r="AA57" s="20"/>
      <c r="AB57" s="20"/>
      <c r="AC57" s="20"/>
      <c r="AD57" s="20"/>
      <c r="AE57" s="20"/>
      <c r="AF57" s="20"/>
      <c r="AG57" s="20"/>
      <c r="AH57" s="20"/>
      <c r="AI57" s="20"/>
      <c r="AJ57" s="20"/>
      <c r="AK57" s="20"/>
      <c r="AL57" s="20"/>
      <c r="AM57" s="20"/>
      <c r="AN57" s="20"/>
      <c r="AO57" s="20"/>
      <c r="AP57" s="20"/>
      <c r="AQ57" s="20"/>
      <c r="AR57" s="20"/>
      <c r="AS57" s="20"/>
      <c r="AT57" s="20"/>
      <c r="AU57" s="20"/>
      <c r="AV57" s="20"/>
      <c r="AW57" s="20"/>
    </row>
    <row r="58" spans="2:49" x14ac:dyDescent="0.2">
      <c r="B58" s="20"/>
      <c r="C58" s="20"/>
      <c r="D58" s="20"/>
      <c r="E58" s="20"/>
      <c r="F58" s="20"/>
      <c r="G58" s="20"/>
      <c r="H58" s="61"/>
      <c r="I58" s="20"/>
      <c r="J58" s="20"/>
      <c r="K58" s="22"/>
      <c r="L58" s="20"/>
      <c r="M58" s="20"/>
      <c r="N58" s="22"/>
      <c r="O58" s="20"/>
      <c r="P58" s="20"/>
      <c r="Q58" s="22"/>
      <c r="R58" s="20"/>
      <c r="S58" s="20"/>
      <c r="T58" s="20"/>
      <c r="W58" s="20"/>
      <c r="X58" s="20"/>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row>
    <row r="59" spans="2:49" x14ac:dyDescent="0.2">
      <c r="B59" s="20"/>
      <c r="C59" s="20"/>
      <c r="D59" s="20"/>
      <c r="E59" s="20"/>
      <c r="F59" s="20"/>
      <c r="G59" s="20"/>
      <c r="H59" s="61"/>
      <c r="I59" s="20"/>
      <c r="J59" s="20"/>
      <c r="K59" s="22"/>
      <c r="L59" s="20"/>
      <c r="M59" s="20"/>
      <c r="N59" s="22"/>
      <c r="O59" s="20"/>
      <c r="P59" s="20"/>
      <c r="Q59" s="22"/>
      <c r="R59" s="20"/>
      <c r="S59" s="20"/>
      <c r="T59" s="20"/>
      <c r="W59" s="20"/>
      <c r="X59" s="20"/>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row>
    <row r="60" spans="2:49" x14ac:dyDescent="0.2">
      <c r="B60" s="20"/>
      <c r="C60" s="20"/>
      <c r="D60" s="20"/>
      <c r="E60" s="20"/>
      <c r="F60" s="20"/>
      <c r="G60" s="20"/>
      <c r="H60" s="61"/>
      <c r="I60" s="20"/>
      <c r="J60" s="20"/>
      <c r="K60" s="22"/>
      <c r="L60" s="20"/>
      <c r="M60" s="20"/>
      <c r="N60" s="22"/>
      <c r="O60" s="20"/>
      <c r="P60" s="20"/>
      <c r="Q60" s="22"/>
      <c r="R60" s="20"/>
      <c r="S60" s="20"/>
      <c r="T60" s="20"/>
      <c r="W60" s="20"/>
      <c r="X60" s="20"/>
      <c r="Y60" s="20"/>
      <c r="Z60" s="20"/>
      <c r="AA60" s="20"/>
      <c r="AB60" s="20"/>
      <c r="AC60" s="20"/>
      <c r="AD60" s="20"/>
      <c r="AE60" s="20"/>
      <c r="AF60" s="20"/>
      <c r="AG60" s="20"/>
      <c r="AH60" s="20"/>
      <c r="AI60" s="20"/>
      <c r="AJ60" s="20"/>
      <c r="AK60" s="20"/>
      <c r="AL60" s="20"/>
      <c r="AM60" s="20"/>
      <c r="AN60" s="20"/>
      <c r="AO60" s="20"/>
      <c r="AP60" s="20"/>
      <c r="AQ60" s="20"/>
      <c r="AR60" s="20"/>
      <c r="AS60" s="20"/>
      <c r="AT60" s="20"/>
      <c r="AU60" s="20"/>
      <c r="AV60" s="20"/>
      <c r="AW60" s="20"/>
    </row>
    <row r="61" spans="2:49" x14ac:dyDescent="0.2">
      <c r="B61" s="20"/>
      <c r="C61" s="20"/>
      <c r="D61" s="20"/>
      <c r="E61" s="20"/>
      <c r="F61" s="20"/>
      <c r="G61" s="20"/>
      <c r="H61" s="61"/>
      <c r="I61" s="20"/>
      <c r="J61" s="20"/>
      <c r="K61" s="22"/>
      <c r="L61" s="20"/>
      <c r="M61" s="20"/>
      <c r="N61" s="22"/>
      <c r="O61" s="20"/>
      <c r="P61" s="20"/>
      <c r="Q61" s="22"/>
      <c r="R61" s="20"/>
      <c r="S61" s="20"/>
      <c r="T61" s="20"/>
      <c r="W61" s="20"/>
      <c r="X61" s="20"/>
      <c r="Y61" s="20"/>
      <c r="Z61" s="20"/>
      <c r="AA61" s="20"/>
      <c r="AB61" s="20"/>
      <c r="AC61" s="20"/>
      <c r="AD61" s="20"/>
      <c r="AE61" s="20"/>
      <c r="AF61" s="20"/>
      <c r="AG61" s="20"/>
      <c r="AH61" s="20"/>
      <c r="AI61" s="20"/>
      <c r="AJ61" s="20"/>
      <c r="AK61" s="20"/>
      <c r="AL61" s="20"/>
      <c r="AM61" s="20"/>
      <c r="AN61" s="20"/>
      <c r="AO61" s="20"/>
      <c r="AP61" s="20"/>
      <c r="AQ61" s="20"/>
      <c r="AR61" s="20"/>
      <c r="AS61" s="20"/>
      <c r="AT61" s="20"/>
      <c r="AU61" s="20"/>
      <c r="AV61" s="20"/>
      <c r="AW61" s="20"/>
    </row>
    <row r="62" spans="2:49" x14ac:dyDescent="0.2">
      <c r="B62" s="20"/>
      <c r="C62" s="20"/>
      <c r="D62" s="20"/>
      <c r="E62" s="20"/>
      <c r="F62" s="20"/>
      <c r="G62" s="20"/>
      <c r="H62" s="61"/>
      <c r="I62" s="20"/>
      <c r="J62" s="20"/>
      <c r="K62" s="22"/>
      <c r="L62" s="20"/>
      <c r="M62" s="20"/>
      <c r="N62" s="22"/>
      <c r="O62" s="20"/>
      <c r="P62" s="20"/>
      <c r="Q62" s="22"/>
      <c r="R62" s="20"/>
      <c r="S62" s="20"/>
      <c r="T62" s="20"/>
      <c r="W62" s="20"/>
      <c r="X62" s="20"/>
      <c r="Y62" s="20"/>
      <c r="Z62" s="20"/>
      <c r="AA62" s="20"/>
      <c r="AB62" s="20"/>
      <c r="AC62" s="20"/>
      <c r="AD62" s="20"/>
      <c r="AE62" s="20"/>
      <c r="AF62" s="20"/>
      <c r="AG62" s="20"/>
      <c r="AH62" s="20"/>
      <c r="AI62" s="20"/>
      <c r="AJ62" s="20"/>
      <c r="AK62" s="20"/>
      <c r="AL62" s="20"/>
      <c r="AM62" s="20"/>
      <c r="AN62" s="20"/>
      <c r="AO62" s="20"/>
      <c r="AP62" s="20"/>
      <c r="AQ62" s="20"/>
      <c r="AR62" s="20"/>
      <c r="AS62" s="20"/>
      <c r="AT62" s="20"/>
      <c r="AU62" s="20"/>
      <c r="AV62" s="20"/>
      <c r="AW62" s="20"/>
    </row>
    <row r="63" spans="2:49" x14ac:dyDescent="0.2">
      <c r="B63" s="20"/>
      <c r="C63" s="20"/>
      <c r="D63" s="20"/>
      <c r="E63" s="20"/>
      <c r="F63" s="20"/>
      <c r="G63" s="20"/>
      <c r="H63" s="61"/>
      <c r="I63" s="20"/>
      <c r="J63" s="20"/>
      <c r="K63" s="22"/>
      <c r="L63" s="20"/>
      <c r="M63" s="20"/>
      <c r="N63" s="22"/>
      <c r="O63" s="20"/>
      <c r="P63" s="20"/>
      <c r="Q63" s="22"/>
      <c r="R63" s="20"/>
      <c r="S63" s="20"/>
      <c r="T63" s="20"/>
      <c r="W63" s="20"/>
      <c r="X63" s="20"/>
      <c r="Y63" s="20"/>
      <c r="Z63" s="20"/>
      <c r="AA63" s="20"/>
      <c r="AB63" s="20"/>
      <c r="AC63" s="20"/>
      <c r="AD63" s="20"/>
      <c r="AE63" s="20"/>
      <c r="AF63" s="20"/>
      <c r="AG63" s="20"/>
      <c r="AH63" s="20"/>
      <c r="AI63" s="20"/>
      <c r="AJ63" s="20"/>
      <c r="AK63" s="20"/>
      <c r="AL63" s="20"/>
      <c r="AM63" s="20"/>
      <c r="AN63" s="20"/>
      <c r="AO63" s="20"/>
      <c r="AP63" s="20"/>
      <c r="AQ63" s="20"/>
      <c r="AR63" s="20"/>
      <c r="AS63" s="20"/>
      <c r="AT63" s="20"/>
      <c r="AU63" s="20"/>
      <c r="AV63" s="20"/>
      <c r="AW63" s="20"/>
    </row>
    <row r="64" spans="2:49" x14ac:dyDescent="0.2">
      <c r="B64" s="20"/>
      <c r="C64" s="20"/>
      <c r="D64" s="20"/>
      <c r="E64" s="20"/>
      <c r="F64" s="20"/>
      <c r="G64" s="20"/>
      <c r="H64" s="61"/>
      <c r="I64" s="20"/>
      <c r="J64" s="20"/>
      <c r="K64" s="22"/>
      <c r="L64" s="20"/>
      <c r="M64" s="20"/>
      <c r="N64" s="22"/>
      <c r="O64" s="20"/>
      <c r="P64" s="20"/>
      <c r="Q64" s="22"/>
      <c r="R64" s="20"/>
      <c r="S64" s="20"/>
      <c r="T64" s="20"/>
      <c r="W64" s="20"/>
      <c r="X64" s="20"/>
      <c r="Y64" s="20"/>
      <c r="Z64" s="20"/>
      <c r="AA64" s="20"/>
      <c r="AB64" s="20"/>
      <c r="AC64" s="20"/>
      <c r="AD64" s="20"/>
      <c r="AE64" s="20"/>
      <c r="AF64" s="20"/>
      <c r="AG64" s="20"/>
      <c r="AH64" s="20"/>
      <c r="AI64" s="20"/>
      <c r="AJ64" s="20"/>
      <c r="AK64" s="20"/>
      <c r="AL64" s="20"/>
      <c r="AM64" s="20"/>
      <c r="AN64" s="20"/>
      <c r="AO64" s="20"/>
      <c r="AP64" s="20"/>
      <c r="AQ64" s="20"/>
      <c r="AR64" s="20"/>
      <c r="AS64" s="20"/>
      <c r="AT64" s="20"/>
      <c r="AU64" s="20"/>
      <c r="AV64" s="20"/>
      <c r="AW64" s="20"/>
    </row>
    <row r="65" spans="2:49" x14ac:dyDescent="0.2">
      <c r="B65" s="20"/>
      <c r="C65" s="20"/>
      <c r="D65" s="20"/>
      <c r="E65" s="20"/>
      <c r="F65" s="20"/>
      <c r="G65" s="20"/>
      <c r="H65" s="61"/>
      <c r="I65" s="20"/>
      <c r="J65" s="20"/>
      <c r="K65" s="22"/>
      <c r="L65" s="20"/>
      <c r="M65" s="20"/>
      <c r="N65" s="22"/>
      <c r="O65" s="20"/>
      <c r="P65" s="20"/>
      <c r="Q65" s="22"/>
      <c r="R65" s="20"/>
      <c r="S65" s="20"/>
      <c r="T65" s="20"/>
      <c r="W65" s="20"/>
      <c r="X65" s="20"/>
      <c r="Y65" s="20"/>
      <c r="Z65" s="20"/>
      <c r="AA65" s="20"/>
      <c r="AB65" s="20"/>
      <c r="AC65" s="20"/>
      <c r="AD65" s="20"/>
      <c r="AE65" s="20"/>
      <c r="AF65" s="20"/>
      <c r="AG65" s="20"/>
      <c r="AH65" s="20"/>
      <c r="AI65" s="20"/>
      <c r="AJ65" s="20"/>
      <c r="AK65" s="20"/>
      <c r="AL65" s="20"/>
      <c r="AM65" s="20"/>
      <c r="AN65" s="20"/>
      <c r="AO65" s="20"/>
      <c r="AP65" s="20"/>
      <c r="AQ65" s="20"/>
      <c r="AR65" s="20"/>
      <c r="AS65" s="20"/>
      <c r="AT65" s="20"/>
      <c r="AU65" s="20"/>
      <c r="AV65" s="20"/>
      <c r="AW65" s="20"/>
    </row>
    <row r="66" spans="2:49" x14ac:dyDescent="0.2">
      <c r="B66" s="20"/>
      <c r="C66" s="20"/>
      <c r="D66" s="20"/>
      <c r="E66" s="20"/>
      <c r="F66" s="20"/>
      <c r="G66" s="20"/>
      <c r="H66" s="61"/>
      <c r="I66" s="20"/>
      <c r="J66" s="20"/>
      <c r="K66" s="22"/>
      <c r="L66" s="20"/>
      <c r="M66" s="20"/>
      <c r="N66" s="22"/>
      <c r="O66" s="20"/>
      <c r="P66" s="20"/>
      <c r="Q66" s="22"/>
      <c r="R66" s="20"/>
      <c r="S66" s="20"/>
      <c r="T66" s="20"/>
      <c r="W66" s="20"/>
      <c r="X66" s="20"/>
      <c r="Y66" s="20"/>
      <c r="Z66" s="20"/>
      <c r="AA66" s="20"/>
      <c r="AB66" s="20"/>
      <c r="AC66" s="20"/>
      <c r="AD66" s="20"/>
      <c r="AE66" s="20"/>
      <c r="AF66" s="20"/>
      <c r="AG66" s="20"/>
      <c r="AH66" s="20"/>
      <c r="AI66" s="20"/>
      <c r="AJ66" s="20"/>
      <c r="AK66" s="20"/>
      <c r="AL66" s="20"/>
      <c r="AM66" s="20"/>
      <c r="AN66" s="20"/>
      <c r="AO66" s="20"/>
      <c r="AP66" s="20"/>
      <c r="AQ66" s="20"/>
      <c r="AR66" s="20"/>
      <c r="AS66" s="20"/>
      <c r="AT66" s="20"/>
      <c r="AU66" s="20"/>
      <c r="AV66" s="20"/>
      <c r="AW66" s="20"/>
    </row>
    <row r="67" spans="2:49" x14ac:dyDescent="0.2">
      <c r="B67" s="20"/>
      <c r="C67" s="20"/>
      <c r="D67" s="20"/>
      <c r="E67" s="20"/>
      <c r="F67" s="20"/>
      <c r="G67" s="20"/>
      <c r="H67" s="61"/>
      <c r="I67" s="20"/>
      <c r="J67" s="20"/>
      <c r="K67" s="22"/>
      <c r="L67" s="20"/>
      <c r="M67" s="20"/>
      <c r="N67" s="22"/>
      <c r="O67" s="20"/>
      <c r="P67" s="20"/>
      <c r="Q67" s="22"/>
      <c r="R67" s="20"/>
      <c r="S67" s="20"/>
      <c r="T67" s="20"/>
      <c r="W67" s="20"/>
      <c r="X67" s="20"/>
      <c r="Y67" s="20"/>
      <c r="Z67" s="20"/>
      <c r="AA67" s="20"/>
      <c r="AB67" s="20"/>
      <c r="AC67" s="20"/>
      <c r="AD67" s="20"/>
      <c r="AE67" s="20"/>
      <c r="AF67" s="20"/>
      <c r="AG67" s="20"/>
      <c r="AH67" s="20"/>
      <c r="AI67" s="20"/>
      <c r="AJ67" s="20"/>
      <c r="AK67" s="20"/>
      <c r="AL67" s="20"/>
      <c r="AM67" s="20"/>
      <c r="AN67" s="20"/>
      <c r="AO67" s="20"/>
      <c r="AP67" s="20"/>
      <c r="AQ67" s="20"/>
      <c r="AR67" s="20"/>
      <c r="AS67" s="20"/>
      <c r="AT67" s="20"/>
      <c r="AU67" s="20"/>
      <c r="AV67" s="20"/>
      <c r="AW67" s="20"/>
    </row>
    <row r="68" spans="2:49" x14ac:dyDescent="0.2">
      <c r="B68" s="20"/>
      <c r="C68" s="20"/>
      <c r="D68" s="20"/>
      <c r="E68" s="20"/>
      <c r="F68" s="20"/>
      <c r="G68" s="20"/>
      <c r="H68" s="61"/>
      <c r="I68" s="20"/>
      <c r="J68" s="20"/>
      <c r="K68" s="22"/>
      <c r="L68" s="20"/>
      <c r="M68" s="20"/>
      <c r="N68" s="22"/>
      <c r="O68" s="20"/>
      <c r="P68" s="20"/>
      <c r="Q68" s="22"/>
      <c r="R68" s="20"/>
      <c r="S68" s="20"/>
      <c r="T68" s="20"/>
      <c r="W68" s="20"/>
      <c r="X68" s="20"/>
      <c r="Y68" s="20"/>
      <c r="Z68" s="20"/>
      <c r="AA68" s="20"/>
      <c r="AB68" s="20"/>
      <c r="AC68" s="20"/>
      <c r="AD68" s="20"/>
      <c r="AE68" s="20"/>
      <c r="AF68" s="20"/>
      <c r="AG68" s="20"/>
      <c r="AH68" s="20"/>
      <c r="AI68" s="20"/>
      <c r="AJ68" s="20"/>
      <c r="AK68" s="20"/>
      <c r="AL68" s="20"/>
      <c r="AM68" s="20"/>
      <c r="AN68" s="20"/>
      <c r="AO68" s="20"/>
      <c r="AP68" s="20"/>
      <c r="AQ68" s="20"/>
      <c r="AR68" s="20"/>
      <c r="AS68" s="20"/>
      <c r="AT68" s="20"/>
      <c r="AU68" s="20"/>
      <c r="AV68" s="20"/>
      <c r="AW68" s="20"/>
    </row>
    <row r="69" spans="2:49" x14ac:dyDescent="0.2">
      <c r="B69" s="20"/>
      <c r="C69" s="20"/>
      <c r="D69" s="20"/>
      <c r="E69" s="20"/>
      <c r="F69" s="20"/>
      <c r="G69" s="20"/>
      <c r="H69" s="61"/>
      <c r="I69" s="20"/>
      <c r="J69" s="20"/>
      <c r="K69" s="22"/>
      <c r="L69" s="20"/>
      <c r="M69" s="20"/>
      <c r="N69" s="22"/>
      <c r="O69" s="20"/>
      <c r="P69" s="20"/>
      <c r="Q69" s="22"/>
      <c r="R69" s="20"/>
      <c r="S69" s="20"/>
      <c r="T69" s="20"/>
      <c r="W69" s="20"/>
      <c r="X69" s="20"/>
      <c r="Y69" s="20"/>
      <c r="Z69" s="20"/>
      <c r="AA69" s="20"/>
      <c r="AB69" s="20"/>
      <c r="AC69" s="20"/>
      <c r="AD69" s="20"/>
      <c r="AE69" s="20"/>
      <c r="AF69" s="20"/>
      <c r="AG69" s="20"/>
      <c r="AH69" s="20"/>
      <c r="AI69" s="20"/>
      <c r="AJ69" s="20"/>
      <c r="AK69" s="20"/>
      <c r="AL69" s="20"/>
      <c r="AM69" s="20"/>
      <c r="AN69" s="20"/>
      <c r="AO69" s="20"/>
      <c r="AP69" s="20"/>
      <c r="AQ69" s="20"/>
      <c r="AR69" s="20"/>
      <c r="AS69" s="20"/>
      <c r="AT69" s="20"/>
      <c r="AU69" s="20"/>
      <c r="AV69" s="20"/>
      <c r="AW69" s="20"/>
    </row>
    <row r="70" spans="2:49" x14ac:dyDescent="0.2">
      <c r="B70" s="20"/>
      <c r="C70" s="20"/>
      <c r="D70" s="20"/>
      <c r="E70" s="20"/>
      <c r="F70" s="20"/>
      <c r="G70" s="20"/>
      <c r="H70" s="61"/>
      <c r="I70" s="20"/>
      <c r="J70" s="20"/>
      <c r="K70" s="22"/>
      <c r="L70" s="20"/>
      <c r="M70" s="20"/>
      <c r="N70" s="22"/>
      <c r="O70" s="20"/>
      <c r="P70" s="20"/>
      <c r="Q70" s="22"/>
      <c r="R70" s="20"/>
      <c r="S70" s="20"/>
      <c r="T70" s="20"/>
      <c r="W70" s="20"/>
      <c r="X70" s="20"/>
      <c r="Y70" s="20"/>
      <c r="Z70" s="20"/>
      <c r="AA70" s="20"/>
      <c r="AB70" s="20"/>
      <c r="AC70" s="20"/>
      <c r="AD70" s="20"/>
      <c r="AE70" s="20"/>
      <c r="AF70" s="20"/>
      <c r="AG70" s="20"/>
      <c r="AH70" s="20"/>
      <c r="AI70" s="20"/>
      <c r="AJ70" s="20"/>
      <c r="AK70" s="20"/>
      <c r="AL70" s="20"/>
      <c r="AM70" s="20"/>
      <c r="AN70" s="20"/>
      <c r="AO70" s="20"/>
      <c r="AP70" s="20"/>
      <c r="AQ70" s="20"/>
      <c r="AR70" s="20"/>
      <c r="AS70" s="20"/>
      <c r="AT70" s="20"/>
      <c r="AU70" s="20"/>
      <c r="AV70" s="20"/>
      <c r="AW70" s="20"/>
    </row>
    <row r="71" spans="2:49" x14ac:dyDescent="0.2">
      <c r="B71" s="20"/>
      <c r="C71" s="20"/>
      <c r="D71" s="20"/>
      <c r="E71" s="20"/>
      <c r="F71" s="20"/>
      <c r="G71" s="20"/>
      <c r="H71" s="61"/>
      <c r="I71" s="20"/>
      <c r="J71" s="20"/>
      <c r="K71" s="22"/>
      <c r="L71" s="20"/>
      <c r="M71" s="20"/>
      <c r="N71" s="22"/>
      <c r="O71" s="20"/>
      <c r="P71" s="20"/>
      <c r="Q71" s="22"/>
      <c r="R71" s="20"/>
      <c r="S71" s="20"/>
      <c r="T71" s="20"/>
      <c r="W71" s="20"/>
      <c r="X71" s="20"/>
      <c r="Y71" s="20"/>
      <c r="Z71" s="20"/>
      <c r="AA71" s="20"/>
      <c r="AB71" s="20"/>
      <c r="AC71" s="20"/>
      <c r="AD71" s="20"/>
      <c r="AE71" s="20"/>
      <c r="AF71" s="20"/>
      <c r="AG71" s="20"/>
      <c r="AH71" s="20"/>
      <c r="AI71" s="20"/>
      <c r="AJ71" s="20"/>
      <c r="AK71" s="20"/>
      <c r="AL71" s="20"/>
      <c r="AM71" s="20"/>
      <c r="AN71" s="20"/>
      <c r="AO71" s="20"/>
      <c r="AP71" s="20"/>
      <c r="AQ71" s="20"/>
      <c r="AR71" s="20"/>
      <c r="AS71" s="20"/>
      <c r="AT71" s="20"/>
      <c r="AU71" s="20"/>
      <c r="AV71" s="20"/>
      <c r="AW71" s="20"/>
    </row>
    <row r="72" spans="2:49" x14ac:dyDescent="0.2">
      <c r="B72" s="20"/>
      <c r="C72" s="20"/>
      <c r="D72" s="20"/>
      <c r="E72" s="20"/>
      <c r="F72" s="20"/>
      <c r="G72" s="20"/>
      <c r="H72" s="61"/>
      <c r="I72" s="20"/>
      <c r="J72" s="20"/>
      <c r="K72" s="22"/>
      <c r="L72" s="20"/>
      <c r="M72" s="20"/>
      <c r="N72" s="22"/>
      <c r="O72" s="20"/>
      <c r="P72" s="20"/>
      <c r="Q72" s="22"/>
      <c r="R72" s="20"/>
      <c r="S72" s="20"/>
      <c r="T72" s="20"/>
      <c r="W72" s="20"/>
      <c r="X72" s="20"/>
      <c r="Y72" s="20"/>
      <c r="Z72" s="20"/>
      <c r="AA72" s="20"/>
      <c r="AB72" s="20"/>
      <c r="AC72" s="20"/>
      <c r="AD72" s="20"/>
      <c r="AE72" s="20"/>
      <c r="AF72" s="20"/>
      <c r="AG72" s="20"/>
      <c r="AH72" s="20"/>
      <c r="AI72" s="20"/>
      <c r="AJ72" s="20"/>
      <c r="AK72" s="20"/>
      <c r="AL72" s="20"/>
      <c r="AM72" s="20"/>
      <c r="AN72" s="20"/>
      <c r="AO72" s="20"/>
      <c r="AP72" s="20"/>
      <c r="AQ72" s="20"/>
      <c r="AR72" s="20"/>
      <c r="AS72" s="20"/>
      <c r="AT72" s="20"/>
      <c r="AU72" s="20"/>
      <c r="AV72" s="20"/>
      <c r="AW72" s="20"/>
    </row>
    <row r="73" spans="2:49" x14ac:dyDescent="0.2">
      <c r="B73" s="20"/>
      <c r="C73" s="20"/>
      <c r="D73" s="20"/>
      <c r="E73" s="20"/>
      <c r="F73" s="20"/>
      <c r="G73" s="20"/>
      <c r="H73" s="61"/>
      <c r="I73" s="20"/>
      <c r="J73" s="20"/>
      <c r="K73" s="22"/>
      <c r="L73" s="20"/>
      <c r="M73" s="20"/>
      <c r="N73" s="22"/>
      <c r="O73" s="20"/>
      <c r="P73" s="20"/>
      <c r="Q73" s="22"/>
      <c r="R73" s="20"/>
      <c r="S73" s="20"/>
      <c r="T73" s="20"/>
      <c r="W73" s="20"/>
      <c r="X73" s="20"/>
      <c r="Y73" s="20"/>
      <c r="Z73" s="20"/>
      <c r="AA73" s="20"/>
      <c r="AB73" s="20"/>
      <c r="AC73" s="20"/>
      <c r="AD73" s="20"/>
      <c r="AE73" s="20"/>
      <c r="AF73" s="20"/>
      <c r="AG73" s="20"/>
      <c r="AH73" s="20"/>
      <c r="AI73" s="20"/>
      <c r="AJ73" s="20"/>
      <c r="AK73" s="20"/>
      <c r="AL73" s="20"/>
      <c r="AM73" s="20"/>
      <c r="AN73" s="20"/>
      <c r="AO73" s="20"/>
      <c r="AP73" s="20"/>
      <c r="AQ73" s="20"/>
      <c r="AR73" s="20"/>
      <c r="AS73" s="20"/>
      <c r="AT73" s="20"/>
      <c r="AU73" s="20"/>
      <c r="AV73" s="20"/>
      <c r="AW73" s="20"/>
    </row>
    <row r="74" spans="2:49" x14ac:dyDescent="0.2">
      <c r="B74" s="20"/>
      <c r="C74" s="20"/>
      <c r="D74" s="20"/>
      <c r="E74" s="20"/>
      <c r="F74" s="20"/>
      <c r="G74" s="20"/>
      <c r="H74" s="61"/>
      <c r="I74" s="20"/>
      <c r="J74" s="20"/>
      <c r="K74" s="22"/>
      <c r="L74" s="20"/>
      <c r="M74" s="20"/>
      <c r="N74" s="22"/>
      <c r="O74" s="20"/>
      <c r="P74" s="20"/>
      <c r="Q74" s="22"/>
      <c r="R74" s="20"/>
      <c r="S74" s="20"/>
      <c r="T74" s="20"/>
      <c r="W74" s="20"/>
      <c r="X74" s="20"/>
      <c r="Y74" s="20"/>
      <c r="Z74" s="20"/>
      <c r="AA74" s="20"/>
      <c r="AB74" s="20"/>
      <c r="AC74" s="20"/>
      <c r="AD74" s="20"/>
      <c r="AE74" s="20"/>
      <c r="AF74" s="20"/>
      <c r="AG74" s="20"/>
      <c r="AH74" s="20"/>
      <c r="AI74" s="20"/>
      <c r="AJ74" s="20"/>
      <c r="AK74" s="20"/>
      <c r="AL74" s="20"/>
      <c r="AM74" s="20"/>
      <c r="AN74" s="20"/>
      <c r="AO74" s="20"/>
      <c r="AP74" s="20"/>
      <c r="AQ74" s="20"/>
      <c r="AR74" s="20"/>
      <c r="AS74" s="20"/>
      <c r="AT74" s="20"/>
      <c r="AU74" s="20"/>
      <c r="AV74" s="20"/>
      <c r="AW74" s="20"/>
    </row>
    <row r="75" spans="2:49" x14ac:dyDescent="0.2">
      <c r="B75" s="20"/>
      <c r="C75" s="20"/>
      <c r="D75" s="20"/>
      <c r="E75" s="20"/>
      <c r="F75" s="20"/>
      <c r="G75" s="20"/>
      <c r="H75" s="61"/>
      <c r="I75" s="20"/>
      <c r="J75" s="20"/>
      <c r="K75" s="22"/>
      <c r="L75" s="20"/>
      <c r="M75" s="20"/>
      <c r="N75" s="22"/>
      <c r="O75" s="20"/>
      <c r="P75" s="20"/>
      <c r="Q75" s="22"/>
      <c r="R75" s="20"/>
      <c r="S75" s="20"/>
      <c r="T75" s="20"/>
      <c r="W75" s="20"/>
      <c r="X75" s="20"/>
      <c r="Y75" s="20"/>
      <c r="Z75" s="20"/>
      <c r="AA75" s="20"/>
      <c r="AB75" s="20"/>
      <c r="AC75" s="20"/>
      <c r="AD75" s="20"/>
      <c r="AE75" s="20"/>
      <c r="AF75" s="20"/>
      <c r="AG75" s="20"/>
      <c r="AH75" s="20"/>
      <c r="AI75" s="20"/>
      <c r="AJ75" s="20"/>
      <c r="AK75" s="20"/>
      <c r="AL75" s="20"/>
      <c r="AM75" s="20"/>
      <c r="AN75" s="20"/>
      <c r="AO75" s="20"/>
      <c r="AP75" s="20"/>
      <c r="AQ75" s="20"/>
      <c r="AR75" s="20"/>
      <c r="AS75" s="20"/>
      <c r="AT75" s="20"/>
      <c r="AU75" s="20"/>
      <c r="AV75" s="20"/>
      <c r="AW75" s="20"/>
    </row>
    <row r="76" spans="2:49" x14ac:dyDescent="0.2">
      <c r="B76" s="20"/>
      <c r="C76" s="20"/>
      <c r="D76" s="20"/>
      <c r="E76" s="20"/>
      <c r="F76" s="20"/>
      <c r="G76" s="20"/>
      <c r="H76" s="61"/>
      <c r="I76" s="20"/>
      <c r="J76" s="20"/>
      <c r="K76" s="22"/>
      <c r="L76" s="20"/>
      <c r="M76" s="20"/>
      <c r="N76" s="22"/>
      <c r="O76" s="20"/>
      <c r="P76" s="20"/>
      <c r="Q76" s="22"/>
      <c r="R76" s="20"/>
      <c r="S76" s="20"/>
      <c r="T76" s="20"/>
      <c r="W76" s="20"/>
      <c r="X76" s="20"/>
      <c r="Y76" s="20"/>
      <c r="Z76" s="20"/>
      <c r="AA76" s="20"/>
      <c r="AB76" s="20"/>
      <c r="AC76" s="20"/>
      <c r="AD76" s="20"/>
      <c r="AE76" s="20"/>
      <c r="AF76" s="20"/>
      <c r="AG76" s="20"/>
      <c r="AH76" s="20"/>
      <c r="AI76" s="20"/>
      <c r="AJ76" s="20"/>
      <c r="AK76" s="20"/>
      <c r="AL76" s="20"/>
      <c r="AM76" s="20"/>
      <c r="AN76" s="20"/>
      <c r="AO76" s="20"/>
      <c r="AP76" s="20"/>
      <c r="AQ76" s="20"/>
      <c r="AR76" s="20"/>
      <c r="AS76" s="20"/>
      <c r="AT76" s="20"/>
      <c r="AU76" s="20"/>
      <c r="AV76" s="20"/>
      <c r="AW76" s="20"/>
    </row>
    <row r="77" spans="2:49" x14ac:dyDescent="0.2">
      <c r="B77" s="20"/>
      <c r="C77" s="20"/>
      <c r="D77" s="20"/>
      <c r="E77" s="20"/>
      <c r="F77" s="20"/>
      <c r="G77" s="20"/>
      <c r="H77" s="61"/>
      <c r="I77" s="20"/>
      <c r="J77" s="20"/>
      <c r="K77" s="22"/>
      <c r="L77" s="20"/>
      <c r="M77" s="20"/>
      <c r="N77" s="22"/>
      <c r="O77" s="20"/>
      <c r="P77" s="20"/>
      <c r="Q77" s="22"/>
      <c r="R77" s="20"/>
      <c r="S77" s="20"/>
      <c r="T77" s="20"/>
      <c r="W77" s="20"/>
      <c r="X77" s="20"/>
      <c r="Y77" s="20"/>
      <c r="Z77" s="20"/>
      <c r="AA77" s="20"/>
      <c r="AB77" s="20"/>
      <c r="AC77" s="20"/>
      <c r="AD77" s="20"/>
      <c r="AE77" s="20"/>
      <c r="AF77" s="20"/>
      <c r="AG77" s="20"/>
      <c r="AH77" s="20"/>
      <c r="AI77" s="20"/>
      <c r="AJ77" s="20"/>
      <c r="AK77" s="20"/>
      <c r="AL77" s="20"/>
      <c r="AM77" s="20"/>
      <c r="AN77" s="20"/>
      <c r="AO77" s="20"/>
      <c r="AP77" s="20"/>
      <c r="AQ77" s="20"/>
      <c r="AR77" s="20"/>
      <c r="AS77" s="20"/>
      <c r="AT77" s="20"/>
      <c r="AU77" s="20"/>
      <c r="AV77" s="20"/>
      <c r="AW77" s="20"/>
    </row>
    <row r="78" spans="2:49" x14ac:dyDescent="0.2">
      <c r="B78" s="20"/>
      <c r="C78" s="20"/>
      <c r="D78" s="20"/>
      <c r="E78" s="20"/>
      <c r="F78" s="20"/>
      <c r="G78" s="20"/>
      <c r="H78" s="61"/>
      <c r="I78" s="20"/>
      <c r="J78" s="20"/>
      <c r="K78" s="22"/>
      <c r="L78" s="20"/>
      <c r="M78" s="20"/>
      <c r="N78" s="22"/>
      <c r="O78" s="20"/>
      <c r="P78" s="20"/>
      <c r="Q78" s="22"/>
      <c r="R78" s="20"/>
      <c r="S78" s="20"/>
      <c r="T78" s="20"/>
      <c r="W78" s="20"/>
      <c r="X78" s="20"/>
      <c r="Y78" s="20"/>
      <c r="Z78" s="20"/>
      <c r="AA78" s="20"/>
      <c r="AB78" s="20"/>
      <c r="AC78" s="20"/>
      <c r="AD78" s="20"/>
      <c r="AE78" s="20"/>
      <c r="AF78" s="20"/>
      <c r="AG78" s="20"/>
      <c r="AH78" s="20"/>
      <c r="AI78" s="20"/>
      <c r="AJ78" s="20"/>
      <c r="AK78" s="20"/>
      <c r="AL78" s="20"/>
      <c r="AM78" s="20"/>
      <c r="AN78" s="20"/>
      <c r="AO78" s="20"/>
      <c r="AP78" s="20"/>
      <c r="AQ78" s="20"/>
      <c r="AR78" s="20"/>
      <c r="AS78" s="20"/>
      <c r="AT78" s="20"/>
      <c r="AU78" s="20"/>
      <c r="AV78" s="20"/>
      <c r="AW78" s="20"/>
    </row>
    <row r="79" spans="2:49" x14ac:dyDescent="0.2">
      <c r="B79" s="20"/>
      <c r="C79" s="20"/>
      <c r="D79" s="20"/>
      <c r="E79" s="20"/>
      <c r="F79" s="20"/>
      <c r="G79" s="20"/>
      <c r="H79" s="61"/>
      <c r="I79" s="20"/>
      <c r="J79" s="20"/>
      <c r="K79" s="22"/>
      <c r="L79" s="20"/>
      <c r="M79" s="20"/>
      <c r="N79" s="22"/>
      <c r="O79" s="20"/>
      <c r="P79" s="20"/>
      <c r="Q79" s="22"/>
      <c r="R79" s="20"/>
      <c r="S79" s="20"/>
      <c r="T79" s="20"/>
      <c r="W79" s="20"/>
      <c r="X79" s="20"/>
      <c r="Y79" s="20"/>
      <c r="Z79" s="20"/>
      <c r="AA79" s="20"/>
      <c r="AB79" s="20"/>
      <c r="AC79" s="20"/>
      <c r="AD79" s="20"/>
      <c r="AE79" s="20"/>
      <c r="AF79" s="20"/>
      <c r="AG79" s="20"/>
      <c r="AH79" s="20"/>
      <c r="AI79" s="20"/>
      <c r="AJ79" s="20"/>
      <c r="AK79" s="20"/>
      <c r="AL79" s="20"/>
      <c r="AM79" s="20"/>
      <c r="AN79" s="20"/>
      <c r="AO79" s="20"/>
      <c r="AP79" s="20"/>
      <c r="AQ79" s="20"/>
      <c r="AR79" s="20"/>
      <c r="AS79" s="20"/>
      <c r="AT79" s="20"/>
      <c r="AU79" s="20"/>
      <c r="AV79" s="20"/>
      <c r="AW79" s="20"/>
    </row>
    <row r="80" spans="2:49" x14ac:dyDescent="0.2">
      <c r="B80" s="20"/>
      <c r="C80" s="20"/>
      <c r="D80" s="20"/>
      <c r="E80" s="20"/>
      <c r="F80" s="20"/>
      <c r="G80" s="20"/>
      <c r="H80" s="61"/>
      <c r="I80" s="20"/>
      <c r="J80" s="20"/>
      <c r="K80" s="22"/>
      <c r="L80" s="20"/>
      <c r="M80" s="20"/>
      <c r="N80" s="22"/>
      <c r="O80" s="20"/>
      <c r="P80" s="20"/>
      <c r="Q80" s="22"/>
      <c r="R80" s="20"/>
      <c r="S80" s="20"/>
      <c r="T80" s="20"/>
      <c r="W80" s="20"/>
      <c r="X80" s="20"/>
      <c r="Y80" s="20"/>
      <c r="Z80" s="20"/>
      <c r="AA80" s="20"/>
      <c r="AB80" s="20"/>
      <c r="AC80" s="20"/>
      <c r="AD80" s="20"/>
      <c r="AE80" s="20"/>
      <c r="AF80" s="20"/>
      <c r="AG80" s="20"/>
      <c r="AH80" s="20"/>
      <c r="AI80" s="20"/>
      <c r="AJ80" s="20"/>
      <c r="AK80" s="20"/>
      <c r="AL80" s="20"/>
      <c r="AM80" s="20"/>
      <c r="AN80" s="20"/>
      <c r="AO80" s="20"/>
      <c r="AP80" s="20"/>
      <c r="AQ80" s="20"/>
      <c r="AR80" s="20"/>
      <c r="AS80" s="20"/>
      <c r="AT80" s="20"/>
      <c r="AU80" s="20"/>
      <c r="AV80" s="20"/>
      <c r="AW80" s="20"/>
    </row>
    <row r="81" spans="2:49" x14ac:dyDescent="0.2">
      <c r="B81" s="20"/>
      <c r="C81" s="20"/>
      <c r="D81" s="20"/>
      <c r="E81" s="20"/>
      <c r="F81" s="20"/>
      <c r="G81" s="20"/>
      <c r="H81" s="61"/>
      <c r="I81" s="20"/>
      <c r="J81" s="20"/>
      <c r="K81" s="22"/>
      <c r="L81" s="20"/>
      <c r="M81" s="20"/>
      <c r="N81" s="22"/>
      <c r="O81" s="20"/>
      <c r="P81" s="20"/>
      <c r="Q81" s="22"/>
      <c r="R81" s="20"/>
      <c r="S81" s="20"/>
      <c r="T81" s="20"/>
      <c r="W81" s="20"/>
      <c r="X81" s="20"/>
      <c r="Y81" s="20"/>
      <c r="Z81" s="20"/>
      <c r="AA81" s="20"/>
      <c r="AB81" s="20"/>
      <c r="AC81" s="20"/>
      <c r="AD81" s="20"/>
      <c r="AE81" s="20"/>
      <c r="AF81" s="20"/>
      <c r="AG81" s="20"/>
      <c r="AH81" s="20"/>
      <c r="AI81" s="20"/>
      <c r="AJ81" s="20"/>
      <c r="AK81" s="20"/>
      <c r="AL81" s="20"/>
      <c r="AM81" s="20"/>
      <c r="AN81" s="20"/>
      <c r="AO81" s="20"/>
      <c r="AP81" s="20"/>
      <c r="AQ81" s="20"/>
      <c r="AR81" s="20"/>
      <c r="AS81" s="20"/>
      <c r="AT81" s="20"/>
      <c r="AU81" s="20"/>
      <c r="AV81" s="20"/>
      <c r="AW81" s="20"/>
    </row>
    <row r="82" spans="2:49" x14ac:dyDescent="0.2">
      <c r="B82" s="20"/>
      <c r="C82" s="20"/>
      <c r="D82" s="20"/>
      <c r="E82" s="20"/>
      <c r="F82" s="20"/>
      <c r="G82" s="20"/>
      <c r="H82" s="61"/>
      <c r="I82" s="20"/>
      <c r="J82" s="20"/>
      <c r="K82" s="22"/>
      <c r="L82" s="20"/>
      <c r="M82" s="20"/>
      <c r="N82" s="22"/>
      <c r="O82" s="20"/>
      <c r="P82" s="20"/>
      <c r="Q82" s="22"/>
      <c r="R82" s="20"/>
      <c r="S82" s="20"/>
      <c r="T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row>
    <row r="83" spans="2:49" x14ac:dyDescent="0.2">
      <c r="B83" s="20"/>
      <c r="C83" s="20"/>
      <c r="D83" s="20"/>
      <c r="E83" s="20"/>
      <c r="F83" s="20"/>
      <c r="G83" s="20"/>
      <c r="H83" s="61"/>
      <c r="I83" s="20"/>
      <c r="J83" s="20"/>
      <c r="K83" s="22"/>
      <c r="L83" s="20"/>
      <c r="M83" s="20"/>
      <c r="N83" s="22"/>
      <c r="O83" s="20"/>
      <c r="P83" s="20"/>
      <c r="Q83" s="22"/>
      <c r="R83" s="20"/>
      <c r="S83" s="20"/>
      <c r="T83" s="20"/>
      <c r="W83" s="20"/>
      <c r="X83" s="20"/>
      <c r="Y83" s="20"/>
      <c r="Z83" s="20"/>
      <c r="AA83" s="20"/>
      <c r="AB83" s="20"/>
      <c r="AC83" s="20"/>
      <c r="AD83" s="20"/>
      <c r="AE83" s="20"/>
      <c r="AF83" s="20"/>
      <c r="AG83" s="20"/>
      <c r="AH83" s="20"/>
      <c r="AI83" s="20"/>
      <c r="AJ83" s="20"/>
      <c r="AK83" s="20"/>
      <c r="AL83" s="20"/>
      <c r="AM83" s="20"/>
      <c r="AN83" s="20"/>
      <c r="AO83" s="20"/>
      <c r="AP83" s="20"/>
      <c r="AQ83" s="20"/>
      <c r="AR83" s="20"/>
      <c r="AS83" s="20"/>
      <c r="AT83" s="20"/>
      <c r="AU83" s="20"/>
      <c r="AV83" s="20"/>
      <c r="AW83" s="20"/>
    </row>
    <row r="84" spans="2:49" x14ac:dyDescent="0.2">
      <c r="B84" s="20"/>
      <c r="C84" s="20"/>
      <c r="D84" s="20"/>
      <c r="E84" s="20"/>
      <c r="F84" s="20"/>
      <c r="G84" s="20"/>
      <c r="H84" s="61"/>
      <c r="I84" s="20"/>
      <c r="J84" s="20"/>
      <c r="K84" s="22"/>
      <c r="L84" s="20"/>
      <c r="M84" s="20"/>
      <c r="N84" s="22"/>
      <c r="O84" s="20"/>
      <c r="P84" s="20"/>
      <c r="Q84" s="22"/>
      <c r="R84" s="20"/>
      <c r="S84" s="20"/>
      <c r="T84" s="20"/>
      <c r="W84" s="20"/>
      <c r="X84" s="20"/>
      <c r="Y84" s="20"/>
      <c r="Z84" s="20"/>
      <c r="AA84" s="20"/>
      <c r="AB84" s="20"/>
      <c r="AC84" s="20"/>
      <c r="AD84" s="20"/>
      <c r="AE84" s="20"/>
      <c r="AF84" s="20"/>
      <c r="AG84" s="20"/>
      <c r="AH84" s="20"/>
      <c r="AI84" s="20"/>
      <c r="AJ84" s="20"/>
      <c r="AK84" s="20"/>
      <c r="AL84" s="20"/>
      <c r="AM84" s="20"/>
      <c r="AN84" s="20"/>
      <c r="AO84" s="20"/>
      <c r="AP84" s="20"/>
      <c r="AQ84" s="20"/>
      <c r="AR84" s="20"/>
      <c r="AS84" s="20"/>
      <c r="AT84" s="20"/>
      <c r="AU84" s="20"/>
      <c r="AV84" s="20"/>
      <c r="AW84" s="20"/>
    </row>
    <row r="85" spans="2:49" x14ac:dyDescent="0.2">
      <c r="B85" s="20"/>
      <c r="C85" s="20"/>
      <c r="D85" s="20"/>
      <c r="E85" s="20"/>
      <c r="F85" s="20"/>
      <c r="G85" s="20"/>
      <c r="H85" s="61"/>
      <c r="I85" s="20"/>
      <c r="J85" s="20"/>
      <c r="K85" s="22"/>
      <c r="L85" s="20"/>
      <c r="M85" s="20"/>
      <c r="N85" s="22"/>
      <c r="O85" s="20"/>
      <c r="P85" s="20"/>
      <c r="Q85" s="22"/>
      <c r="R85" s="20"/>
      <c r="S85" s="20"/>
      <c r="T85" s="20"/>
      <c r="W85" s="20"/>
      <c r="X85" s="20"/>
      <c r="Y85" s="20"/>
      <c r="Z85" s="20"/>
      <c r="AA85" s="20"/>
      <c r="AB85" s="20"/>
      <c r="AC85" s="20"/>
      <c r="AD85" s="20"/>
      <c r="AE85" s="20"/>
      <c r="AF85" s="20"/>
      <c r="AG85" s="20"/>
      <c r="AH85" s="20"/>
      <c r="AI85" s="20"/>
      <c r="AJ85" s="20"/>
      <c r="AK85" s="20"/>
      <c r="AL85" s="20"/>
      <c r="AM85" s="20"/>
      <c r="AN85" s="20"/>
      <c r="AO85" s="20"/>
      <c r="AP85" s="20"/>
      <c r="AQ85" s="20"/>
      <c r="AR85" s="20"/>
      <c r="AS85" s="20"/>
      <c r="AT85" s="20"/>
      <c r="AU85" s="20"/>
      <c r="AV85" s="20"/>
      <c r="AW85" s="20"/>
    </row>
    <row r="86" spans="2:49" x14ac:dyDescent="0.2">
      <c r="B86" s="20"/>
      <c r="C86" s="20"/>
      <c r="D86" s="20"/>
      <c r="E86" s="20"/>
      <c r="F86" s="20"/>
      <c r="G86" s="20"/>
      <c r="H86" s="61"/>
      <c r="I86" s="20"/>
      <c r="J86" s="20"/>
      <c r="K86" s="22"/>
      <c r="L86" s="20"/>
      <c r="M86" s="20"/>
      <c r="N86" s="22"/>
      <c r="O86" s="20"/>
      <c r="P86" s="20"/>
      <c r="Q86" s="22"/>
      <c r="R86" s="20"/>
      <c r="S86" s="20"/>
      <c r="T86" s="20"/>
      <c r="W86" s="20"/>
      <c r="X86" s="20"/>
      <c r="Y86" s="20"/>
      <c r="Z86" s="20"/>
      <c r="AA86" s="20"/>
      <c r="AB86" s="20"/>
      <c r="AC86" s="20"/>
      <c r="AD86" s="20"/>
      <c r="AE86" s="20"/>
      <c r="AF86" s="20"/>
      <c r="AG86" s="20"/>
      <c r="AH86" s="20"/>
      <c r="AI86" s="20"/>
      <c r="AJ86" s="20"/>
      <c r="AK86" s="20"/>
      <c r="AL86" s="20"/>
      <c r="AM86" s="20"/>
      <c r="AN86" s="20"/>
      <c r="AO86" s="20"/>
      <c r="AP86" s="20"/>
      <c r="AQ86" s="20"/>
      <c r="AR86" s="20"/>
      <c r="AS86" s="20"/>
      <c r="AT86" s="20"/>
      <c r="AU86" s="20"/>
      <c r="AV86" s="20"/>
      <c r="AW86" s="20"/>
    </row>
    <row r="87" spans="2:49" x14ac:dyDescent="0.2">
      <c r="B87" s="20"/>
      <c r="C87" s="20"/>
      <c r="D87" s="20"/>
      <c r="E87" s="20"/>
      <c r="F87" s="20"/>
      <c r="G87" s="20"/>
      <c r="H87" s="61"/>
      <c r="I87" s="20"/>
      <c r="J87" s="20"/>
      <c r="K87" s="22"/>
      <c r="L87" s="20"/>
      <c r="M87" s="20"/>
      <c r="N87" s="22"/>
      <c r="O87" s="20"/>
      <c r="P87" s="20"/>
      <c r="Q87" s="22"/>
      <c r="R87" s="20"/>
      <c r="S87" s="20"/>
      <c r="T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row>
    <row r="88" spans="2:49" x14ac:dyDescent="0.2">
      <c r="B88" s="20"/>
      <c r="C88" s="20"/>
      <c r="D88" s="20"/>
      <c r="E88" s="20"/>
      <c r="F88" s="20"/>
      <c r="G88" s="20"/>
      <c r="H88" s="61"/>
      <c r="I88" s="20"/>
      <c r="J88" s="20"/>
      <c r="K88" s="22"/>
      <c r="L88" s="20"/>
      <c r="M88" s="20"/>
      <c r="N88" s="22"/>
      <c r="O88" s="20"/>
      <c r="P88" s="20"/>
      <c r="Q88" s="22"/>
      <c r="R88" s="20"/>
      <c r="S88" s="20"/>
      <c r="T88" s="20"/>
      <c r="W88" s="20"/>
      <c r="X88" s="20"/>
      <c r="Y88" s="20"/>
      <c r="Z88" s="20"/>
      <c r="AA88" s="20"/>
      <c r="AB88" s="20"/>
      <c r="AC88" s="20"/>
      <c r="AD88" s="20"/>
      <c r="AE88" s="20"/>
      <c r="AF88" s="20"/>
      <c r="AG88" s="20"/>
      <c r="AH88" s="20"/>
      <c r="AI88" s="20"/>
      <c r="AJ88" s="20"/>
      <c r="AK88" s="20"/>
      <c r="AL88" s="20"/>
      <c r="AM88" s="20"/>
      <c r="AN88" s="20"/>
      <c r="AO88" s="20"/>
      <c r="AP88" s="20"/>
      <c r="AQ88" s="20"/>
      <c r="AR88" s="20"/>
      <c r="AS88" s="20"/>
      <c r="AT88" s="20"/>
      <c r="AU88" s="20"/>
      <c r="AV88" s="20"/>
      <c r="AW88" s="20"/>
    </row>
    <row r="89" spans="2:49" x14ac:dyDescent="0.2">
      <c r="B89" s="20"/>
      <c r="C89" s="20"/>
      <c r="D89" s="20"/>
      <c r="E89" s="20"/>
      <c r="F89" s="20"/>
      <c r="G89" s="20"/>
      <c r="H89" s="61"/>
      <c r="I89" s="20"/>
      <c r="J89" s="20"/>
      <c r="K89" s="22"/>
      <c r="L89" s="20"/>
      <c r="M89" s="20"/>
      <c r="N89" s="22"/>
      <c r="O89" s="20"/>
      <c r="P89" s="20"/>
      <c r="Q89" s="22"/>
      <c r="R89" s="20"/>
      <c r="S89" s="20"/>
      <c r="T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row>
    <row r="90" spans="2:49" x14ac:dyDescent="0.2">
      <c r="B90" s="20"/>
      <c r="C90" s="20"/>
      <c r="D90" s="20"/>
      <c r="E90" s="20"/>
      <c r="F90" s="20"/>
      <c r="G90" s="20"/>
      <c r="H90" s="61"/>
      <c r="I90" s="20"/>
      <c r="J90" s="20"/>
      <c r="K90" s="22"/>
      <c r="L90" s="20"/>
      <c r="M90" s="20"/>
      <c r="N90" s="22"/>
      <c r="O90" s="20"/>
      <c r="P90" s="20"/>
      <c r="Q90" s="22"/>
      <c r="R90" s="20"/>
      <c r="S90" s="20"/>
      <c r="T90" s="20"/>
      <c r="W90" s="20"/>
      <c r="X90" s="20"/>
      <c r="Y90" s="20"/>
      <c r="Z90" s="20"/>
      <c r="AA90" s="20"/>
      <c r="AB90" s="20"/>
      <c r="AC90" s="20"/>
      <c r="AD90" s="20"/>
      <c r="AE90" s="20"/>
      <c r="AF90" s="20"/>
      <c r="AG90" s="20"/>
      <c r="AH90" s="20"/>
      <c r="AI90" s="20"/>
      <c r="AJ90" s="20"/>
      <c r="AK90" s="20"/>
      <c r="AL90" s="20"/>
      <c r="AM90" s="20"/>
      <c r="AN90" s="20"/>
      <c r="AO90" s="20"/>
      <c r="AP90" s="20"/>
      <c r="AQ90" s="20"/>
      <c r="AR90" s="20"/>
      <c r="AS90" s="20"/>
      <c r="AT90" s="20"/>
      <c r="AU90" s="20"/>
      <c r="AV90" s="20"/>
      <c r="AW90" s="20"/>
    </row>
    <row r="91" spans="2:49" x14ac:dyDescent="0.2">
      <c r="B91" s="20"/>
      <c r="C91" s="20"/>
      <c r="D91" s="20"/>
      <c r="E91" s="20"/>
      <c r="F91" s="20"/>
      <c r="G91" s="20"/>
      <c r="H91" s="61"/>
      <c r="I91" s="20"/>
      <c r="J91" s="20"/>
      <c r="K91" s="22"/>
      <c r="L91" s="20"/>
      <c r="M91" s="20"/>
      <c r="N91" s="22"/>
      <c r="O91" s="20"/>
      <c r="P91" s="20"/>
      <c r="Q91" s="22"/>
      <c r="R91" s="20"/>
      <c r="S91" s="20"/>
      <c r="T91" s="20"/>
      <c r="W91" s="20"/>
      <c r="X91" s="20"/>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row>
    <row r="92" spans="2:49" x14ac:dyDescent="0.2">
      <c r="B92" s="20"/>
      <c r="C92" s="20"/>
      <c r="D92" s="20"/>
      <c r="E92" s="20"/>
      <c r="F92" s="20"/>
      <c r="G92" s="20"/>
      <c r="H92" s="61"/>
      <c r="I92" s="20"/>
      <c r="J92" s="20"/>
      <c r="K92" s="22"/>
      <c r="L92" s="20"/>
      <c r="M92" s="20"/>
      <c r="N92" s="22"/>
      <c r="O92" s="20"/>
      <c r="P92" s="20"/>
      <c r="Q92" s="22"/>
      <c r="R92" s="20"/>
      <c r="S92" s="20"/>
      <c r="T92" s="20"/>
      <c r="W92" s="20"/>
      <c r="X92" s="20"/>
      <c r="Y92" s="20"/>
      <c r="Z92" s="20"/>
      <c r="AA92" s="20"/>
      <c r="AB92" s="20"/>
      <c r="AC92" s="20"/>
      <c r="AD92" s="20"/>
      <c r="AE92" s="20"/>
      <c r="AF92" s="20"/>
      <c r="AG92" s="20"/>
      <c r="AH92" s="20"/>
      <c r="AI92" s="20"/>
      <c r="AJ92" s="20"/>
      <c r="AK92" s="20"/>
      <c r="AL92" s="20"/>
      <c r="AM92" s="20"/>
      <c r="AN92" s="20"/>
      <c r="AO92" s="20"/>
      <c r="AP92" s="20"/>
      <c r="AQ92" s="20"/>
      <c r="AR92" s="20"/>
      <c r="AS92" s="20"/>
      <c r="AT92" s="20"/>
      <c r="AU92" s="20"/>
      <c r="AV92" s="20"/>
      <c r="AW92" s="20"/>
    </row>
    <row r="93" spans="2:49" x14ac:dyDescent="0.2">
      <c r="B93" s="20"/>
      <c r="C93" s="20"/>
      <c r="D93" s="20"/>
      <c r="E93" s="20"/>
      <c r="F93" s="20"/>
      <c r="G93" s="20"/>
      <c r="H93" s="61"/>
      <c r="I93" s="20"/>
      <c r="J93" s="20"/>
      <c r="K93" s="22"/>
      <c r="L93" s="20"/>
      <c r="M93" s="20"/>
      <c r="N93" s="22"/>
      <c r="O93" s="20"/>
      <c r="P93" s="20"/>
      <c r="Q93" s="22"/>
      <c r="R93" s="20"/>
      <c r="S93" s="20"/>
      <c r="T93" s="20"/>
      <c r="W93" s="20"/>
      <c r="X93" s="20"/>
      <c r="Y93" s="20"/>
      <c r="Z93" s="20"/>
      <c r="AA93" s="20"/>
      <c r="AB93" s="20"/>
      <c r="AC93" s="20"/>
      <c r="AD93" s="20"/>
      <c r="AE93" s="20"/>
      <c r="AF93" s="20"/>
      <c r="AG93" s="20"/>
      <c r="AH93" s="20"/>
      <c r="AI93" s="20"/>
      <c r="AJ93" s="20"/>
      <c r="AK93" s="20"/>
      <c r="AL93" s="20"/>
      <c r="AM93" s="20"/>
      <c r="AN93" s="20"/>
      <c r="AO93" s="20"/>
      <c r="AP93" s="20"/>
      <c r="AQ93" s="20"/>
      <c r="AR93" s="20"/>
      <c r="AS93" s="20"/>
      <c r="AT93" s="20"/>
      <c r="AU93" s="20"/>
      <c r="AV93" s="20"/>
      <c r="AW93" s="20"/>
    </row>
    <row r="94" spans="2:49" x14ac:dyDescent="0.2">
      <c r="B94" s="20"/>
      <c r="C94" s="20"/>
      <c r="D94" s="20"/>
      <c r="E94" s="20"/>
      <c r="F94" s="20"/>
      <c r="G94" s="20"/>
      <c r="H94" s="61"/>
      <c r="I94" s="20"/>
      <c r="J94" s="20"/>
      <c r="K94" s="22"/>
      <c r="L94" s="20"/>
      <c r="M94" s="20"/>
      <c r="N94" s="22"/>
      <c r="O94" s="20"/>
      <c r="P94" s="20"/>
      <c r="Q94" s="22"/>
      <c r="R94" s="20"/>
      <c r="S94" s="20"/>
      <c r="T94" s="20"/>
      <c r="W94" s="20"/>
      <c r="X94" s="20"/>
      <c r="Y94" s="20"/>
      <c r="Z94" s="20"/>
      <c r="AA94" s="20"/>
      <c r="AB94" s="20"/>
      <c r="AC94" s="20"/>
      <c r="AD94" s="20"/>
      <c r="AE94" s="20"/>
      <c r="AF94" s="20"/>
      <c r="AG94" s="20"/>
      <c r="AH94" s="20"/>
      <c r="AI94" s="20"/>
      <c r="AJ94" s="20"/>
      <c r="AK94" s="20"/>
      <c r="AL94" s="20"/>
      <c r="AM94" s="20"/>
      <c r="AN94" s="20"/>
      <c r="AO94" s="20"/>
      <c r="AP94" s="20"/>
      <c r="AQ94" s="20"/>
      <c r="AR94" s="20"/>
      <c r="AS94" s="20"/>
      <c r="AT94" s="20"/>
      <c r="AU94" s="20"/>
      <c r="AV94" s="20"/>
      <c r="AW94" s="20"/>
    </row>
    <row r="95" spans="2:49" x14ac:dyDescent="0.2">
      <c r="B95" s="20"/>
      <c r="C95" s="20"/>
      <c r="D95" s="20"/>
      <c r="E95" s="20"/>
      <c r="F95" s="20"/>
      <c r="G95" s="20"/>
      <c r="H95" s="61"/>
      <c r="I95" s="20"/>
      <c r="J95" s="20"/>
      <c r="K95" s="22"/>
      <c r="L95" s="20"/>
      <c r="M95" s="20"/>
      <c r="N95" s="22"/>
      <c r="O95" s="20"/>
      <c r="P95" s="20"/>
      <c r="Q95" s="22"/>
      <c r="R95" s="20"/>
      <c r="S95" s="20"/>
      <c r="T95" s="20"/>
      <c r="W95" s="20"/>
      <c r="X95" s="20"/>
      <c r="Y95" s="20"/>
      <c r="Z95" s="20"/>
      <c r="AA95" s="20"/>
      <c r="AB95" s="20"/>
      <c r="AC95" s="20"/>
      <c r="AD95" s="20"/>
      <c r="AE95" s="20"/>
      <c r="AF95" s="20"/>
      <c r="AG95" s="20"/>
      <c r="AH95" s="20"/>
      <c r="AI95" s="20"/>
      <c r="AJ95" s="20"/>
      <c r="AK95" s="20"/>
      <c r="AL95" s="20"/>
      <c r="AM95" s="20"/>
      <c r="AN95" s="20"/>
      <c r="AO95" s="20"/>
      <c r="AP95" s="20"/>
      <c r="AQ95" s="20"/>
      <c r="AR95" s="20"/>
      <c r="AS95" s="20"/>
      <c r="AT95" s="20"/>
      <c r="AU95" s="20"/>
      <c r="AV95" s="20"/>
      <c r="AW95" s="20"/>
    </row>
    <row r="96" spans="2:49" x14ac:dyDescent="0.2">
      <c r="B96" s="20"/>
      <c r="C96" s="20"/>
      <c r="D96" s="20"/>
      <c r="E96" s="20"/>
      <c r="F96" s="20"/>
      <c r="G96" s="20"/>
      <c r="H96" s="61"/>
      <c r="I96" s="20"/>
      <c r="J96" s="20"/>
      <c r="K96" s="22"/>
      <c r="L96" s="20"/>
      <c r="M96" s="20"/>
      <c r="N96" s="22"/>
      <c r="O96" s="20"/>
      <c r="P96" s="20"/>
      <c r="Q96" s="22"/>
      <c r="R96" s="20"/>
      <c r="S96" s="20"/>
      <c r="T96" s="20"/>
      <c r="W96" s="20"/>
      <c r="X96" s="20"/>
      <c r="Y96" s="20"/>
      <c r="Z96" s="20"/>
      <c r="AA96" s="20"/>
      <c r="AB96" s="20"/>
      <c r="AC96" s="20"/>
      <c r="AD96" s="20"/>
      <c r="AE96" s="20"/>
      <c r="AF96" s="20"/>
      <c r="AG96" s="20"/>
      <c r="AH96" s="20"/>
      <c r="AI96" s="20"/>
      <c r="AJ96" s="20"/>
      <c r="AK96" s="20"/>
      <c r="AL96" s="20"/>
      <c r="AM96" s="20"/>
      <c r="AN96" s="20"/>
      <c r="AO96" s="20"/>
      <c r="AP96" s="20"/>
      <c r="AQ96" s="20"/>
      <c r="AR96" s="20"/>
      <c r="AS96" s="20"/>
      <c r="AT96" s="20"/>
      <c r="AU96" s="20"/>
      <c r="AV96" s="20"/>
      <c r="AW96" s="20"/>
    </row>
    <row r="97" spans="2:49" x14ac:dyDescent="0.2">
      <c r="B97" s="20"/>
      <c r="C97" s="20"/>
      <c r="D97" s="20"/>
      <c r="E97" s="20"/>
      <c r="F97" s="20"/>
      <c r="G97" s="20"/>
      <c r="H97" s="61"/>
      <c r="I97" s="20"/>
      <c r="J97" s="20"/>
      <c r="K97" s="22"/>
      <c r="L97" s="20"/>
      <c r="M97" s="20"/>
      <c r="N97" s="22"/>
      <c r="O97" s="20"/>
      <c r="P97" s="20"/>
      <c r="Q97" s="22"/>
      <c r="R97" s="20"/>
      <c r="S97" s="20"/>
      <c r="T97" s="20"/>
      <c r="W97" s="20"/>
      <c r="X97" s="20"/>
      <c r="Y97" s="20"/>
      <c r="Z97" s="20"/>
      <c r="AA97" s="20"/>
      <c r="AB97" s="20"/>
      <c r="AC97" s="20"/>
      <c r="AD97" s="20"/>
      <c r="AE97" s="20"/>
      <c r="AF97" s="20"/>
      <c r="AG97" s="20"/>
      <c r="AH97" s="20"/>
      <c r="AI97" s="20"/>
      <c r="AJ97" s="20"/>
      <c r="AK97" s="20"/>
      <c r="AL97" s="20"/>
      <c r="AM97" s="20"/>
      <c r="AN97" s="20"/>
      <c r="AO97" s="20"/>
      <c r="AP97" s="20"/>
      <c r="AQ97" s="20"/>
      <c r="AR97" s="20"/>
      <c r="AS97" s="20"/>
      <c r="AT97" s="20"/>
      <c r="AU97" s="20"/>
      <c r="AV97" s="20"/>
      <c r="AW97" s="20"/>
    </row>
    <row r="98" spans="2:49" x14ac:dyDescent="0.2">
      <c r="B98" s="20"/>
      <c r="C98" s="20"/>
      <c r="D98" s="20"/>
      <c r="E98" s="20"/>
      <c r="F98" s="20"/>
      <c r="G98" s="20"/>
      <c r="H98" s="61"/>
      <c r="I98" s="20"/>
      <c r="J98" s="20"/>
      <c r="K98" s="22"/>
      <c r="L98" s="20"/>
      <c r="M98" s="20"/>
      <c r="N98" s="22"/>
      <c r="O98" s="20"/>
      <c r="P98" s="20"/>
      <c r="Q98" s="22"/>
      <c r="R98" s="20"/>
      <c r="S98" s="20"/>
      <c r="T98" s="20"/>
      <c r="W98" s="20"/>
      <c r="X98" s="20"/>
      <c r="Y98" s="20"/>
      <c r="Z98" s="20"/>
      <c r="AA98" s="20"/>
      <c r="AB98" s="20"/>
      <c r="AC98" s="20"/>
      <c r="AD98" s="20"/>
      <c r="AE98" s="20"/>
      <c r="AF98" s="20"/>
      <c r="AG98" s="20"/>
      <c r="AH98" s="20"/>
      <c r="AI98" s="20"/>
      <c r="AJ98" s="20"/>
      <c r="AK98" s="20"/>
      <c r="AL98" s="20"/>
      <c r="AM98" s="20"/>
      <c r="AN98" s="20"/>
      <c r="AO98" s="20"/>
      <c r="AP98" s="20"/>
      <c r="AQ98" s="20"/>
      <c r="AR98" s="20"/>
      <c r="AS98" s="20"/>
      <c r="AT98" s="20"/>
      <c r="AU98" s="20"/>
      <c r="AV98" s="20"/>
      <c r="AW98" s="20"/>
    </row>
    <row r="99" spans="2:49" x14ac:dyDescent="0.2">
      <c r="B99" s="20"/>
      <c r="C99" s="20"/>
      <c r="D99" s="20"/>
      <c r="E99" s="20"/>
      <c r="F99" s="20"/>
      <c r="G99" s="20"/>
      <c r="H99" s="61"/>
      <c r="I99" s="20"/>
      <c r="J99" s="20"/>
      <c r="K99" s="22"/>
      <c r="L99" s="20"/>
      <c r="M99" s="20"/>
      <c r="N99" s="22"/>
      <c r="O99" s="20"/>
      <c r="P99" s="20"/>
      <c r="Q99" s="22"/>
      <c r="R99" s="20"/>
      <c r="S99" s="20"/>
      <c r="T99" s="20"/>
      <c r="W99" s="20"/>
      <c r="X99" s="20"/>
      <c r="Y99" s="20"/>
      <c r="Z99" s="20"/>
      <c r="AA99" s="20"/>
      <c r="AB99" s="20"/>
      <c r="AC99" s="20"/>
      <c r="AD99" s="20"/>
      <c r="AE99" s="20"/>
      <c r="AF99" s="20"/>
      <c r="AG99" s="20"/>
      <c r="AH99" s="20"/>
      <c r="AI99" s="20"/>
      <c r="AJ99" s="20"/>
      <c r="AK99" s="20"/>
      <c r="AL99" s="20"/>
      <c r="AM99" s="20"/>
      <c r="AN99" s="20"/>
      <c r="AO99" s="20"/>
      <c r="AP99" s="20"/>
      <c r="AQ99" s="20"/>
      <c r="AR99" s="20"/>
      <c r="AS99" s="20"/>
      <c r="AT99" s="20"/>
      <c r="AU99" s="20"/>
      <c r="AV99" s="20"/>
      <c r="AW99" s="20"/>
    </row>
    <row r="100" spans="2:49" x14ac:dyDescent="0.2">
      <c r="B100" s="20"/>
      <c r="C100" s="20"/>
      <c r="D100" s="20"/>
      <c r="E100" s="20"/>
      <c r="F100" s="20"/>
      <c r="G100" s="20"/>
      <c r="H100" s="61"/>
      <c r="I100" s="20"/>
      <c r="J100" s="20"/>
      <c r="K100" s="22"/>
      <c r="L100" s="20"/>
      <c r="M100" s="20"/>
      <c r="N100" s="22"/>
      <c r="O100" s="20"/>
      <c r="P100" s="20"/>
      <c r="Q100" s="22"/>
      <c r="R100" s="20"/>
      <c r="S100" s="20"/>
      <c r="T100" s="20"/>
      <c r="W100" s="20"/>
      <c r="X100" s="20"/>
      <c r="Y100" s="20"/>
      <c r="Z100" s="20"/>
      <c r="AA100" s="20"/>
      <c r="AB100" s="20"/>
      <c r="AC100" s="20"/>
      <c r="AD100" s="20"/>
      <c r="AE100" s="20"/>
      <c r="AF100" s="20"/>
      <c r="AG100" s="20"/>
      <c r="AH100" s="20"/>
      <c r="AI100" s="20"/>
      <c r="AJ100" s="20"/>
      <c r="AK100" s="20"/>
      <c r="AL100" s="20"/>
      <c r="AM100" s="20"/>
      <c r="AN100" s="20"/>
      <c r="AO100" s="20"/>
      <c r="AP100" s="20"/>
      <c r="AQ100" s="20"/>
      <c r="AR100" s="20"/>
      <c r="AS100" s="20"/>
      <c r="AT100" s="20"/>
      <c r="AU100" s="20"/>
      <c r="AV100" s="20"/>
      <c r="AW100" s="20"/>
    </row>
    <row r="101" spans="2:49" x14ac:dyDescent="0.2">
      <c r="B101" s="20"/>
      <c r="C101" s="20"/>
      <c r="D101" s="20"/>
      <c r="E101" s="20"/>
      <c r="F101" s="20"/>
      <c r="G101" s="20"/>
      <c r="H101" s="61"/>
      <c r="I101" s="20"/>
      <c r="J101" s="20"/>
      <c r="K101" s="22"/>
      <c r="L101" s="20"/>
      <c r="M101" s="20"/>
      <c r="N101" s="22"/>
      <c r="O101" s="20"/>
      <c r="P101" s="20"/>
      <c r="Q101" s="22"/>
      <c r="R101" s="20"/>
      <c r="S101" s="20"/>
      <c r="T101" s="20"/>
      <c r="W101" s="20"/>
      <c r="X101" s="20"/>
      <c r="Y101" s="20"/>
      <c r="Z101" s="20"/>
      <c r="AA101" s="20"/>
      <c r="AB101" s="20"/>
      <c r="AC101" s="20"/>
      <c r="AD101" s="20"/>
      <c r="AE101" s="20"/>
      <c r="AF101" s="20"/>
      <c r="AG101" s="20"/>
      <c r="AH101" s="20"/>
      <c r="AI101" s="20"/>
      <c r="AJ101" s="20"/>
      <c r="AK101" s="20"/>
      <c r="AL101" s="20"/>
      <c r="AM101" s="20"/>
      <c r="AN101" s="20"/>
      <c r="AO101" s="20"/>
      <c r="AP101" s="20"/>
      <c r="AQ101" s="20"/>
      <c r="AR101" s="20"/>
      <c r="AS101" s="20"/>
      <c r="AT101" s="20"/>
      <c r="AU101" s="20"/>
      <c r="AV101" s="20"/>
      <c r="AW101" s="20"/>
    </row>
    <row r="102" spans="2:49" x14ac:dyDescent="0.2">
      <c r="B102" s="20"/>
      <c r="C102" s="20"/>
      <c r="D102" s="20"/>
      <c r="E102" s="20"/>
      <c r="F102" s="20"/>
      <c r="G102" s="20"/>
      <c r="H102" s="61"/>
      <c r="I102" s="20"/>
      <c r="J102" s="20"/>
      <c r="K102" s="22"/>
      <c r="L102" s="20"/>
      <c r="M102" s="20"/>
      <c r="N102" s="22"/>
      <c r="O102" s="20"/>
      <c r="P102" s="20"/>
      <c r="Q102" s="22"/>
      <c r="R102" s="20"/>
      <c r="S102" s="20"/>
      <c r="T102" s="20"/>
      <c r="W102" s="20"/>
      <c r="X102" s="20"/>
      <c r="Y102" s="20"/>
      <c r="Z102" s="20"/>
      <c r="AA102" s="20"/>
      <c r="AB102" s="20"/>
      <c r="AC102" s="20"/>
      <c r="AD102" s="20"/>
      <c r="AE102" s="20"/>
      <c r="AF102" s="20"/>
      <c r="AG102" s="20"/>
      <c r="AH102" s="20"/>
      <c r="AI102" s="20"/>
      <c r="AJ102" s="20"/>
      <c r="AK102" s="20"/>
      <c r="AL102" s="20"/>
      <c r="AM102" s="20"/>
      <c r="AN102" s="20"/>
      <c r="AO102" s="20"/>
      <c r="AP102" s="20"/>
      <c r="AQ102" s="20"/>
      <c r="AR102" s="20"/>
      <c r="AS102" s="20"/>
      <c r="AT102" s="20"/>
      <c r="AU102" s="20"/>
      <c r="AV102" s="20"/>
      <c r="AW102" s="20"/>
    </row>
    <row r="103" spans="2:49" x14ac:dyDescent="0.2">
      <c r="B103" s="20"/>
      <c r="C103" s="20"/>
      <c r="D103" s="20"/>
      <c r="E103" s="20"/>
      <c r="F103" s="20"/>
      <c r="G103" s="20"/>
      <c r="H103" s="61"/>
      <c r="I103" s="20"/>
      <c r="J103" s="20"/>
      <c r="K103" s="22"/>
      <c r="L103" s="20"/>
      <c r="M103" s="20"/>
      <c r="N103" s="22"/>
      <c r="O103" s="20"/>
      <c r="P103" s="20"/>
      <c r="Q103" s="22"/>
      <c r="R103" s="20"/>
      <c r="S103" s="20"/>
      <c r="T103" s="20"/>
      <c r="W103" s="20"/>
      <c r="X103" s="20"/>
      <c r="Y103" s="20"/>
      <c r="Z103" s="20"/>
      <c r="AA103" s="20"/>
      <c r="AB103" s="20"/>
      <c r="AC103" s="20"/>
      <c r="AD103" s="20"/>
      <c r="AE103" s="20"/>
      <c r="AF103" s="20"/>
      <c r="AG103" s="20"/>
      <c r="AH103" s="20"/>
      <c r="AI103" s="20"/>
      <c r="AJ103" s="20"/>
      <c r="AK103" s="20"/>
      <c r="AL103" s="20"/>
      <c r="AM103" s="20"/>
      <c r="AN103" s="20"/>
      <c r="AO103" s="20"/>
      <c r="AP103" s="20"/>
      <c r="AQ103" s="20"/>
      <c r="AR103" s="20"/>
      <c r="AS103" s="20"/>
      <c r="AT103" s="20"/>
      <c r="AU103" s="20"/>
      <c r="AV103" s="20"/>
      <c r="AW103" s="20"/>
    </row>
    <row r="104" spans="2:49" x14ac:dyDescent="0.2">
      <c r="B104" s="20"/>
      <c r="C104" s="20"/>
      <c r="D104" s="20"/>
      <c r="E104" s="20"/>
      <c r="F104" s="20"/>
      <c r="G104" s="20"/>
      <c r="H104" s="61"/>
      <c r="I104" s="20"/>
      <c r="J104" s="20"/>
      <c r="K104" s="22"/>
      <c r="L104" s="20"/>
      <c r="M104" s="20"/>
      <c r="N104" s="22"/>
      <c r="O104" s="20"/>
      <c r="P104" s="20"/>
      <c r="Q104" s="22"/>
      <c r="R104" s="20"/>
      <c r="S104" s="20"/>
      <c r="T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c r="AT104" s="20"/>
      <c r="AU104" s="20"/>
      <c r="AV104" s="20"/>
      <c r="AW104" s="20"/>
    </row>
    <row r="105" spans="2:49" x14ac:dyDescent="0.2">
      <c r="B105" s="20"/>
      <c r="C105" s="20"/>
      <c r="D105" s="20"/>
      <c r="E105" s="20"/>
      <c r="F105" s="20"/>
      <c r="G105" s="20"/>
      <c r="H105" s="61"/>
      <c r="I105" s="20"/>
      <c r="J105" s="20"/>
      <c r="K105" s="22"/>
      <c r="L105" s="20"/>
      <c r="M105" s="20"/>
      <c r="N105" s="22"/>
      <c r="O105" s="20"/>
      <c r="P105" s="20"/>
      <c r="Q105" s="22"/>
      <c r="R105" s="20"/>
      <c r="S105" s="20"/>
      <c r="T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c r="AT105" s="20"/>
      <c r="AU105" s="20"/>
      <c r="AV105" s="20"/>
      <c r="AW105" s="20"/>
    </row>
    <row r="106" spans="2:49" x14ac:dyDescent="0.2">
      <c r="B106" s="20"/>
      <c r="C106" s="20"/>
      <c r="D106" s="20"/>
      <c r="E106" s="20"/>
      <c r="F106" s="20"/>
      <c r="G106" s="20"/>
      <c r="H106" s="61"/>
      <c r="I106" s="20"/>
      <c r="J106" s="20"/>
      <c r="K106" s="22"/>
      <c r="L106" s="20"/>
      <c r="M106" s="20"/>
      <c r="N106" s="22"/>
      <c r="O106" s="20"/>
      <c r="P106" s="20"/>
      <c r="Q106" s="22"/>
      <c r="R106" s="20"/>
      <c r="S106" s="20"/>
      <c r="T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c r="AT106" s="20"/>
      <c r="AU106" s="20"/>
      <c r="AV106" s="20"/>
      <c r="AW106" s="20"/>
    </row>
    <row r="107" spans="2:49" x14ac:dyDescent="0.2">
      <c r="B107" s="20"/>
      <c r="C107" s="20"/>
      <c r="D107" s="20"/>
      <c r="E107" s="20"/>
      <c r="F107" s="20"/>
      <c r="G107" s="20"/>
      <c r="H107" s="61"/>
      <c r="I107" s="20"/>
      <c r="J107" s="20"/>
      <c r="K107" s="22"/>
      <c r="L107" s="20"/>
      <c r="M107" s="20"/>
      <c r="N107" s="22"/>
      <c r="O107" s="20"/>
      <c r="P107" s="20"/>
      <c r="Q107" s="22"/>
      <c r="R107" s="20"/>
      <c r="S107" s="20"/>
      <c r="T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c r="AT107" s="20"/>
      <c r="AU107" s="20"/>
      <c r="AV107" s="20"/>
      <c r="AW107" s="20"/>
    </row>
    <row r="108" spans="2:49" x14ac:dyDescent="0.2">
      <c r="B108" s="20"/>
      <c r="C108" s="20"/>
      <c r="D108" s="20"/>
      <c r="E108" s="20"/>
      <c r="F108" s="20"/>
      <c r="G108" s="20"/>
      <c r="H108" s="61"/>
      <c r="I108" s="20"/>
      <c r="J108" s="20"/>
      <c r="K108" s="22"/>
      <c r="L108" s="20"/>
      <c r="M108" s="20"/>
      <c r="N108" s="22"/>
      <c r="O108" s="20"/>
      <c r="P108" s="20"/>
      <c r="Q108" s="22"/>
      <c r="R108" s="20"/>
      <c r="S108" s="20"/>
      <c r="T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c r="AT108" s="20"/>
      <c r="AU108" s="20"/>
      <c r="AV108" s="20"/>
      <c r="AW108" s="20"/>
    </row>
    <row r="109" spans="2:49" x14ac:dyDescent="0.2">
      <c r="B109" s="20"/>
      <c r="C109" s="20"/>
      <c r="D109" s="20"/>
      <c r="E109" s="20"/>
      <c r="F109" s="20"/>
      <c r="G109" s="20"/>
      <c r="H109" s="61"/>
      <c r="I109" s="20"/>
      <c r="J109" s="20"/>
      <c r="K109" s="22"/>
      <c r="L109" s="20"/>
      <c r="M109" s="20"/>
      <c r="N109" s="22"/>
      <c r="O109" s="20"/>
      <c r="P109" s="20"/>
      <c r="Q109" s="22"/>
      <c r="R109" s="20"/>
      <c r="S109" s="20"/>
      <c r="T109" s="20"/>
      <c r="W109" s="20"/>
      <c r="X109" s="20"/>
      <c r="Y109" s="20"/>
      <c r="Z109" s="20"/>
      <c r="AA109" s="20"/>
      <c r="AB109" s="20"/>
      <c r="AC109" s="20"/>
      <c r="AD109" s="20"/>
      <c r="AE109" s="20"/>
      <c r="AF109" s="20"/>
      <c r="AG109" s="20"/>
      <c r="AH109" s="20"/>
      <c r="AI109" s="20"/>
      <c r="AJ109" s="20"/>
      <c r="AK109" s="20"/>
      <c r="AL109" s="20"/>
      <c r="AM109" s="20"/>
      <c r="AN109" s="20"/>
      <c r="AO109" s="20"/>
      <c r="AP109" s="20"/>
      <c r="AQ109" s="20"/>
      <c r="AR109" s="20"/>
      <c r="AS109" s="20"/>
      <c r="AT109" s="20"/>
      <c r="AU109" s="20"/>
      <c r="AV109" s="20"/>
      <c r="AW109" s="20"/>
    </row>
    <row r="110" spans="2:49" x14ac:dyDescent="0.2">
      <c r="B110" s="20"/>
      <c r="C110" s="20"/>
      <c r="D110" s="20"/>
      <c r="E110" s="20"/>
      <c r="F110" s="20"/>
      <c r="G110" s="20"/>
      <c r="H110" s="61"/>
      <c r="I110" s="20"/>
      <c r="J110" s="20"/>
      <c r="K110" s="22"/>
      <c r="L110" s="20"/>
      <c r="M110" s="20"/>
      <c r="N110" s="22"/>
      <c r="O110" s="20"/>
      <c r="P110" s="20"/>
      <c r="Q110" s="22"/>
      <c r="R110" s="20"/>
      <c r="S110" s="20"/>
      <c r="T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c r="AT110" s="20"/>
      <c r="AU110" s="20"/>
      <c r="AV110" s="20"/>
      <c r="AW110" s="20"/>
    </row>
    <row r="111" spans="2:49" x14ac:dyDescent="0.2">
      <c r="B111" s="20"/>
      <c r="C111" s="20"/>
      <c r="D111" s="20"/>
      <c r="E111" s="20"/>
      <c r="F111" s="20"/>
      <c r="G111" s="20"/>
      <c r="H111" s="61"/>
      <c r="I111" s="20"/>
      <c r="J111" s="20"/>
      <c r="K111" s="22"/>
      <c r="L111" s="20"/>
      <c r="M111" s="20"/>
      <c r="N111" s="22"/>
      <c r="O111" s="20"/>
      <c r="P111" s="20"/>
      <c r="Q111" s="22"/>
      <c r="R111" s="20"/>
      <c r="S111" s="20"/>
      <c r="T111" s="20"/>
      <c r="W111" s="20"/>
      <c r="X111" s="20"/>
      <c r="Y111" s="20"/>
      <c r="Z111" s="20"/>
      <c r="AA111" s="20"/>
      <c r="AB111" s="20"/>
      <c r="AC111" s="20"/>
      <c r="AD111" s="20"/>
      <c r="AE111" s="20"/>
      <c r="AF111" s="20"/>
      <c r="AG111" s="20"/>
      <c r="AH111" s="20"/>
      <c r="AI111" s="20"/>
      <c r="AJ111" s="20"/>
      <c r="AK111" s="20"/>
      <c r="AL111" s="20"/>
      <c r="AM111" s="20"/>
      <c r="AN111" s="20"/>
      <c r="AO111" s="20"/>
      <c r="AP111" s="20"/>
      <c r="AQ111" s="20"/>
      <c r="AR111" s="20"/>
      <c r="AS111" s="20"/>
      <c r="AT111" s="20"/>
      <c r="AU111" s="20"/>
      <c r="AV111" s="20"/>
      <c r="AW111" s="20"/>
    </row>
    <row r="112" spans="2:49" x14ac:dyDescent="0.2">
      <c r="B112" s="20"/>
      <c r="C112" s="20"/>
      <c r="D112" s="20"/>
      <c r="E112" s="20"/>
      <c r="F112" s="20"/>
      <c r="G112" s="20"/>
      <c r="H112" s="61"/>
      <c r="I112" s="20"/>
      <c r="J112" s="20"/>
      <c r="K112" s="22"/>
      <c r="L112" s="20"/>
      <c r="M112" s="20"/>
      <c r="N112" s="22"/>
      <c r="O112" s="20"/>
      <c r="P112" s="20"/>
      <c r="Q112" s="22"/>
      <c r="R112" s="20"/>
      <c r="S112" s="20"/>
      <c r="T112" s="20"/>
      <c r="W112" s="20"/>
      <c r="X112" s="20"/>
      <c r="Y112" s="20"/>
      <c r="Z112" s="20"/>
      <c r="AA112" s="20"/>
      <c r="AB112" s="20"/>
      <c r="AC112" s="20"/>
      <c r="AD112" s="20"/>
      <c r="AE112" s="20"/>
      <c r="AF112" s="20"/>
      <c r="AG112" s="20"/>
      <c r="AH112" s="20"/>
      <c r="AI112" s="20"/>
      <c r="AJ112" s="20"/>
      <c r="AK112" s="20"/>
      <c r="AL112" s="20"/>
      <c r="AM112" s="20"/>
      <c r="AN112" s="20"/>
      <c r="AO112" s="20"/>
      <c r="AP112" s="20"/>
      <c r="AQ112" s="20"/>
      <c r="AR112" s="20"/>
      <c r="AS112" s="20"/>
      <c r="AT112" s="20"/>
      <c r="AU112" s="20"/>
      <c r="AV112" s="20"/>
      <c r="AW112" s="20"/>
    </row>
    <row r="113" spans="2:49" x14ac:dyDescent="0.2">
      <c r="B113" s="20"/>
      <c r="C113" s="20"/>
      <c r="D113" s="20"/>
      <c r="E113" s="20"/>
      <c r="F113" s="20"/>
      <c r="G113" s="20"/>
      <c r="H113" s="61"/>
      <c r="I113" s="20"/>
      <c r="J113" s="20"/>
      <c r="K113" s="22"/>
      <c r="L113" s="20"/>
      <c r="M113" s="20"/>
      <c r="N113" s="22"/>
      <c r="O113" s="20"/>
      <c r="P113" s="20"/>
      <c r="Q113" s="22"/>
      <c r="R113" s="20"/>
      <c r="S113" s="20"/>
      <c r="T113" s="20"/>
      <c r="W113" s="20"/>
      <c r="X113" s="20"/>
      <c r="Y113" s="20"/>
      <c r="Z113" s="20"/>
      <c r="AA113" s="20"/>
      <c r="AB113" s="20"/>
      <c r="AC113" s="20"/>
      <c r="AD113" s="20"/>
      <c r="AE113" s="20"/>
      <c r="AF113" s="20"/>
      <c r="AG113" s="20"/>
      <c r="AH113" s="20"/>
      <c r="AI113" s="20"/>
      <c r="AJ113" s="20"/>
      <c r="AK113" s="20"/>
      <c r="AL113" s="20"/>
      <c r="AM113" s="20"/>
      <c r="AN113" s="20"/>
      <c r="AO113" s="20"/>
      <c r="AP113" s="20"/>
      <c r="AQ113" s="20"/>
      <c r="AR113" s="20"/>
      <c r="AS113" s="20"/>
      <c r="AT113" s="20"/>
      <c r="AU113" s="20"/>
      <c r="AV113" s="20"/>
      <c r="AW113" s="20"/>
    </row>
    <row r="114" spans="2:49" x14ac:dyDescent="0.2">
      <c r="B114" s="20"/>
      <c r="C114" s="20"/>
      <c r="D114" s="20"/>
      <c r="E114" s="20"/>
      <c r="F114" s="20"/>
      <c r="G114" s="20"/>
      <c r="H114" s="61"/>
      <c r="I114" s="20"/>
      <c r="J114" s="20"/>
      <c r="K114" s="22"/>
      <c r="L114" s="20"/>
      <c r="M114" s="20"/>
      <c r="N114" s="22"/>
      <c r="O114" s="20"/>
      <c r="P114" s="20"/>
      <c r="Q114" s="22"/>
      <c r="R114" s="20"/>
      <c r="S114" s="20"/>
      <c r="T114" s="20"/>
      <c r="W114" s="20"/>
      <c r="X114" s="20"/>
      <c r="Y114" s="20"/>
      <c r="Z114" s="20"/>
      <c r="AA114" s="20"/>
      <c r="AB114" s="20"/>
      <c r="AC114" s="20"/>
      <c r="AD114" s="20"/>
      <c r="AE114" s="20"/>
      <c r="AF114" s="20"/>
      <c r="AG114" s="20"/>
      <c r="AH114" s="20"/>
      <c r="AI114" s="20"/>
      <c r="AJ114" s="20"/>
      <c r="AK114" s="20"/>
      <c r="AL114" s="20"/>
      <c r="AM114" s="20"/>
      <c r="AN114" s="20"/>
      <c r="AO114" s="20"/>
      <c r="AP114" s="20"/>
      <c r="AQ114" s="20"/>
      <c r="AR114" s="20"/>
      <c r="AS114" s="20"/>
      <c r="AT114" s="20"/>
      <c r="AU114" s="20"/>
      <c r="AV114" s="20"/>
      <c r="AW114" s="20"/>
    </row>
    <row r="115" spans="2:49" x14ac:dyDescent="0.2">
      <c r="B115" s="20"/>
      <c r="C115" s="20"/>
      <c r="D115" s="20"/>
      <c r="E115" s="20"/>
      <c r="F115" s="20"/>
      <c r="G115" s="20"/>
      <c r="H115" s="61"/>
      <c r="I115" s="20"/>
      <c r="J115" s="20"/>
      <c r="K115" s="22"/>
      <c r="L115" s="20"/>
      <c r="M115" s="20"/>
      <c r="N115" s="22"/>
      <c r="O115" s="20"/>
      <c r="P115" s="20"/>
      <c r="Q115" s="22"/>
      <c r="R115" s="20"/>
      <c r="S115" s="20"/>
      <c r="T115" s="20"/>
      <c r="W115" s="20"/>
      <c r="X115" s="20"/>
      <c r="Y115" s="20"/>
      <c r="Z115" s="20"/>
      <c r="AA115" s="20"/>
      <c r="AB115" s="20"/>
      <c r="AC115" s="20"/>
      <c r="AD115" s="20"/>
      <c r="AE115" s="20"/>
      <c r="AF115" s="20"/>
      <c r="AG115" s="20"/>
      <c r="AH115" s="20"/>
      <c r="AI115" s="20"/>
      <c r="AJ115" s="20"/>
      <c r="AK115" s="20"/>
      <c r="AL115" s="20"/>
      <c r="AM115" s="20"/>
      <c r="AN115" s="20"/>
      <c r="AO115" s="20"/>
      <c r="AP115" s="20"/>
      <c r="AQ115" s="20"/>
      <c r="AR115" s="20"/>
      <c r="AS115" s="20"/>
      <c r="AT115" s="20"/>
      <c r="AU115" s="20"/>
      <c r="AV115" s="20"/>
      <c r="AW115" s="20"/>
    </row>
    <row r="116" spans="2:49" x14ac:dyDescent="0.2">
      <c r="B116" s="20"/>
      <c r="C116" s="20"/>
      <c r="D116" s="20"/>
      <c r="E116" s="20"/>
      <c r="F116" s="20"/>
      <c r="G116" s="20"/>
      <c r="H116" s="61"/>
      <c r="I116" s="20"/>
      <c r="J116" s="20"/>
      <c r="K116" s="22"/>
      <c r="L116" s="20"/>
      <c r="M116" s="20"/>
      <c r="N116" s="22"/>
      <c r="O116" s="20"/>
      <c r="P116" s="20"/>
      <c r="Q116" s="22"/>
      <c r="R116" s="20"/>
      <c r="S116" s="20"/>
      <c r="T116" s="20"/>
      <c r="W116" s="20"/>
      <c r="X116" s="20"/>
      <c r="Y116" s="20"/>
      <c r="Z116" s="20"/>
      <c r="AA116" s="20"/>
      <c r="AB116" s="20"/>
      <c r="AC116" s="20"/>
      <c r="AD116" s="20"/>
      <c r="AE116" s="20"/>
      <c r="AF116" s="20"/>
      <c r="AG116" s="20"/>
      <c r="AH116" s="20"/>
      <c r="AI116" s="20"/>
      <c r="AJ116" s="20"/>
      <c r="AK116" s="20"/>
      <c r="AL116" s="20"/>
      <c r="AM116" s="20"/>
      <c r="AN116" s="20"/>
      <c r="AO116" s="20"/>
      <c r="AP116" s="20"/>
      <c r="AQ116" s="20"/>
      <c r="AR116" s="20"/>
      <c r="AS116" s="20"/>
      <c r="AT116" s="20"/>
      <c r="AU116" s="20"/>
      <c r="AV116" s="20"/>
      <c r="AW116" s="20"/>
    </row>
    <row r="117" spans="2:49" x14ac:dyDescent="0.2">
      <c r="B117" s="20"/>
      <c r="C117" s="20"/>
      <c r="D117" s="20"/>
      <c r="E117" s="20"/>
      <c r="F117" s="20"/>
      <c r="G117" s="20"/>
      <c r="H117" s="61"/>
      <c r="I117" s="20"/>
      <c r="J117" s="20"/>
      <c r="K117" s="22"/>
      <c r="L117" s="20"/>
      <c r="M117" s="20"/>
      <c r="N117" s="22"/>
      <c r="O117" s="20"/>
      <c r="P117" s="20"/>
      <c r="Q117" s="22"/>
      <c r="R117" s="20"/>
      <c r="S117" s="20"/>
      <c r="T117" s="20"/>
      <c r="W117" s="20"/>
      <c r="X117" s="20"/>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row>
    <row r="118" spans="2:49" x14ac:dyDescent="0.2">
      <c r="B118" s="20"/>
      <c r="C118" s="20"/>
      <c r="D118" s="20"/>
      <c r="E118" s="20"/>
      <c r="F118" s="20"/>
      <c r="G118" s="20"/>
      <c r="H118" s="61"/>
      <c r="I118" s="20"/>
      <c r="J118" s="20"/>
      <c r="K118" s="22"/>
      <c r="L118" s="20"/>
      <c r="M118" s="20"/>
      <c r="N118" s="22"/>
      <c r="O118" s="20"/>
      <c r="P118" s="20"/>
      <c r="Q118" s="22"/>
      <c r="R118" s="20"/>
      <c r="S118" s="20"/>
      <c r="T118" s="20"/>
      <c r="W118" s="20"/>
      <c r="X118" s="20"/>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row>
    <row r="119" spans="2:49" x14ac:dyDescent="0.2">
      <c r="B119" s="20"/>
      <c r="C119" s="20"/>
      <c r="D119" s="20"/>
      <c r="E119" s="20"/>
      <c r="F119" s="20"/>
      <c r="G119" s="20"/>
      <c r="H119" s="61"/>
      <c r="I119" s="20"/>
      <c r="J119" s="20"/>
      <c r="K119" s="22"/>
      <c r="L119" s="20"/>
      <c r="M119" s="20"/>
      <c r="N119" s="22"/>
      <c r="O119" s="20"/>
      <c r="P119" s="20"/>
      <c r="Q119" s="22"/>
      <c r="R119" s="20"/>
      <c r="S119" s="20"/>
      <c r="T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row>
    <row r="120" spans="2:49" x14ac:dyDescent="0.2">
      <c r="B120" s="20"/>
      <c r="C120" s="20"/>
      <c r="D120" s="20"/>
      <c r="E120" s="20"/>
      <c r="F120" s="20"/>
      <c r="G120" s="20"/>
      <c r="H120" s="61"/>
      <c r="I120" s="20"/>
      <c r="J120" s="20"/>
      <c r="K120" s="22"/>
      <c r="L120" s="20"/>
      <c r="M120" s="20"/>
      <c r="N120" s="22"/>
      <c r="O120" s="20"/>
      <c r="P120" s="20"/>
      <c r="Q120" s="22"/>
      <c r="R120" s="20"/>
      <c r="S120" s="20"/>
      <c r="T120" s="20"/>
      <c r="W120" s="20"/>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row>
    <row r="121" spans="2:49" x14ac:dyDescent="0.2">
      <c r="B121" s="20"/>
      <c r="C121" s="20"/>
      <c r="D121" s="20"/>
      <c r="E121" s="20"/>
      <c r="F121" s="20"/>
      <c r="G121" s="20"/>
      <c r="H121" s="61"/>
      <c r="I121" s="20"/>
      <c r="J121" s="20"/>
      <c r="K121" s="22"/>
      <c r="L121" s="20"/>
      <c r="M121" s="20"/>
      <c r="N121" s="22"/>
      <c r="O121" s="20"/>
      <c r="P121" s="20"/>
      <c r="Q121" s="22"/>
      <c r="R121" s="20"/>
      <c r="S121" s="20"/>
      <c r="T121" s="20"/>
      <c r="W121" s="20"/>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row>
    <row r="122" spans="2:49" x14ac:dyDescent="0.2">
      <c r="B122" s="20"/>
      <c r="C122" s="20"/>
      <c r="D122" s="20"/>
      <c r="E122" s="20"/>
      <c r="F122" s="20"/>
      <c r="G122" s="20"/>
      <c r="H122" s="61"/>
      <c r="I122" s="20"/>
      <c r="J122" s="20"/>
      <c r="K122" s="22"/>
      <c r="L122" s="20"/>
      <c r="M122" s="20"/>
      <c r="N122" s="22"/>
      <c r="O122" s="20"/>
      <c r="P122" s="20"/>
      <c r="Q122" s="22"/>
      <c r="R122" s="20"/>
      <c r="S122" s="20"/>
      <c r="T122" s="20"/>
      <c r="W122" s="20"/>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row>
    <row r="123" spans="2:49" x14ac:dyDescent="0.2">
      <c r="B123" s="20"/>
      <c r="C123" s="20"/>
      <c r="D123" s="20"/>
      <c r="E123" s="20"/>
      <c r="F123" s="20"/>
      <c r="G123" s="20"/>
      <c r="H123" s="61"/>
      <c r="I123" s="20"/>
      <c r="J123" s="20"/>
      <c r="K123" s="22"/>
      <c r="L123" s="20"/>
      <c r="M123" s="20"/>
      <c r="N123" s="22"/>
      <c r="O123" s="20"/>
      <c r="P123" s="20"/>
      <c r="Q123" s="22"/>
      <c r="R123" s="20"/>
      <c r="S123" s="20"/>
      <c r="T123" s="20"/>
      <c r="W123" s="20"/>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row>
    <row r="124" spans="2:49" x14ac:dyDescent="0.2">
      <c r="B124" s="20"/>
      <c r="C124" s="20"/>
      <c r="D124" s="20"/>
      <c r="E124" s="20"/>
      <c r="F124" s="20"/>
      <c r="G124" s="20"/>
      <c r="H124" s="61"/>
      <c r="I124" s="20"/>
      <c r="J124" s="20"/>
      <c r="K124" s="22"/>
      <c r="L124" s="20"/>
      <c r="M124" s="20"/>
      <c r="N124" s="22"/>
      <c r="O124" s="20"/>
      <c r="P124" s="20"/>
      <c r="Q124" s="22"/>
      <c r="R124" s="20"/>
      <c r="S124" s="20"/>
      <c r="T124" s="20"/>
      <c r="W124" s="20"/>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row>
    <row r="125" spans="2:49" x14ac:dyDescent="0.2">
      <c r="B125" s="20"/>
      <c r="C125" s="20"/>
      <c r="D125" s="20"/>
      <c r="E125" s="20"/>
      <c r="F125" s="20"/>
      <c r="G125" s="20"/>
      <c r="H125" s="61"/>
      <c r="I125" s="20"/>
      <c r="J125" s="20"/>
      <c r="K125" s="22"/>
      <c r="L125" s="20"/>
      <c r="M125" s="20"/>
      <c r="N125" s="22"/>
      <c r="O125" s="20"/>
      <c r="P125" s="20"/>
      <c r="Q125" s="22"/>
      <c r="R125" s="20"/>
      <c r="S125" s="20"/>
      <c r="T125" s="20"/>
      <c r="W125" s="20"/>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row>
    <row r="126" spans="2:49" x14ac:dyDescent="0.2">
      <c r="B126" s="20"/>
      <c r="C126" s="20"/>
      <c r="D126" s="20"/>
      <c r="E126" s="20"/>
      <c r="F126" s="20"/>
      <c r="G126" s="20"/>
      <c r="H126" s="61"/>
      <c r="I126" s="20"/>
      <c r="J126" s="20"/>
      <c r="K126" s="22"/>
      <c r="L126" s="20"/>
      <c r="M126" s="20"/>
      <c r="N126" s="22"/>
      <c r="O126" s="20"/>
      <c r="P126" s="20"/>
      <c r="Q126" s="22"/>
      <c r="R126" s="20"/>
      <c r="S126" s="20"/>
      <c r="T126" s="20"/>
      <c r="W126" s="20"/>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row>
    <row r="127" spans="2:49" x14ac:dyDescent="0.2">
      <c r="B127" s="20"/>
      <c r="C127" s="20"/>
      <c r="D127" s="20"/>
      <c r="E127" s="20"/>
      <c r="F127" s="20"/>
      <c r="G127" s="20"/>
      <c r="H127" s="61"/>
      <c r="I127" s="20"/>
      <c r="J127" s="20"/>
      <c r="K127" s="22"/>
      <c r="L127" s="20"/>
      <c r="M127" s="20"/>
      <c r="N127" s="22"/>
      <c r="O127" s="20"/>
      <c r="P127" s="20"/>
      <c r="Q127" s="22"/>
      <c r="R127" s="20"/>
      <c r="S127" s="20"/>
      <c r="T127" s="20"/>
      <c r="W127" s="20"/>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row>
    <row r="128" spans="2:49" x14ac:dyDescent="0.2">
      <c r="B128" s="20"/>
      <c r="C128" s="20"/>
      <c r="D128" s="20"/>
      <c r="E128" s="20"/>
      <c r="F128" s="20"/>
      <c r="G128" s="20"/>
      <c r="H128" s="61"/>
      <c r="I128" s="20"/>
      <c r="J128" s="20"/>
      <c r="K128" s="22"/>
      <c r="L128" s="20"/>
      <c r="M128" s="20"/>
      <c r="N128" s="22"/>
      <c r="O128" s="20"/>
      <c r="P128" s="20"/>
      <c r="Q128" s="22"/>
      <c r="R128" s="20"/>
      <c r="S128" s="20"/>
      <c r="T128" s="20"/>
      <c r="W128" s="20"/>
      <c r="X128" s="20"/>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row>
    <row r="129" spans="2:49" x14ac:dyDescent="0.2">
      <c r="B129" s="20"/>
      <c r="C129" s="20"/>
      <c r="D129" s="20"/>
      <c r="E129" s="20"/>
      <c r="F129" s="20"/>
      <c r="G129" s="20"/>
      <c r="H129" s="61"/>
      <c r="I129" s="20"/>
      <c r="J129" s="20"/>
      <c r="K129" s="22"/>
      <c r="L129" s="20"/>
      <c r="M129" s="20"/>
      <c r="N129" s="22"/>
      <c r="O129" s="20"/>
      <c r="P129" s="20"/>
      <c r="Q129" s="22"/>
      <c r="R129" s="20"/>
      <c r="S129" s="20"/>
      <c r="T129" s="20"/>
      <c r="W129" s="20"/>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row>
    <row r="130" spans="2:49" x14ac:dyDescent="0.2">
      <c r="B130" s="20"/>
      <c r="C130" s="20"/>
      <c r="D130" s="20"/>
      <c r="E130" s="20"/>
      <c r="F130" s="20"/>
      <c r="G130" s="20"/>
      <c r="H130" s="61"/>
      <c r="I130" s="20"/>
      <c r="J130" s="20"/>
      <c r="K130" s="22"/>
      <c r="L130" s="20"/>
      <c r="M130" s="20"/>
      <c r="N130" s="22"/>
      <c r="O130" s="20"/>
      <c r="P130" s="20"/>
      <c r="Q130" s="22"/>
      <c r="R130" s="20"/>
      <c r="S130" s="20"/>
      <c r="T130" s="20"/>
      <c r="W130" s="20"/>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row>
    <row r="131" spans="2:49" x14ac:dyDescent="0.2">
      <c r="B131" s="20"/>
      <c r="C131" s="20"/>
      <c r="D131" s="20"/>
      <c r="E131" s="20"/>
      <c r="F131" s="20"/>
      <c r="G131" s="20"/>
      <c r="H131" s="61"/>
      <c r="I131" s="20"/>
      <c r="J131" s="20"/>
      <c r="K131" s="22"/>
      <c r="L131" s="20"/>
      <c r="M131" s="20"/>
      <c r="N131" s="22"/>
      <c r="O131" s="20"/>
      <c r="P131" s="20"/>
      <c r="Q131" s="22"/>
      <c r="R131" s="20"/>
      <c r="S131" s="20"/>
      <c r="T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row>
    <row r="132" spans="2:49" x14ac:dyDescent="0.2">
      <c r="B132" s="20"/>
      <c r="C132" s="20"/>
      <c r="D132" s="20"/>
      <c r="E132" s="20"/>
      <c r="F132" s="20"/>
      <c r="G132" s="20"/>
      <c r="H132" s="61"/>
      <c r="I132" s="20"/>
      <c r="J132" s="20"/>
      <c r="K132" s="22"/>
      <c r="L132" s="20"/>
      <c r="M132" s="20"/>
      <c r="N132" s="22"/>
      <c r="O132" s="20"/>
      <c r="P132" s="20"/>
      <c r="Q132" s="22"/>
      <c r="R132" s="20"/>
      <c r="S132" s="20"/>
      <c r="T132" s="20"/>
      <c r="W132" s="20"/>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row>
    <row r="133" spans="2:49" x14ac:dyDescent="0.2">
      <c r="B133" s="20"/>
      <c r="C133" s="20"/>
      <c r="D133" s="20"/>
      <c r="E133" s="20"/>
      <c r="F133" s="20"/>
      <c r="G133" s="20"/>
      <c r="H133" s="61"/>
      <c r="I133" s="20"/>
      <c r="J133" s="20"/>
      <c r="K133" s="22"/>
      <c r="L133" s="20"/>
      <c r="M133" s="20"/>
      <c r="N133" s="22"/>
      <c r="O133" s="20"/>
      <c r="P133" s="20"/>
      <c r="Q133" s="22"/>
      <c r="R133" s="20"/>
      <c r="S133" s="20"/>
      <c r="T133" s="20"/>
      <c r="W133" s="20"/>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row>
    <row r="134" spans="2:49" x14ac:dyDescent="0.2">
      <c r="B134" s="20"/>
      <c r="C134" s="20"/>
      <c r="D134" s="20"/>
      <c r="E134" s="20"/>
      <c r="F134" s="20"/>
      <c r="G134" s="20"/>
      <c r="H134" s="61"/>
      <c r="I134" s="20"/>
      <c r="J134" s="20"/>
      <c r="K134" s="22"/>
      <c r="L134" s="20"/>
      <c r="M134" s="20"/>
      <c r="N134" s="22"/>
      <c r="O134" s="20"/>
      <c r="P134" s="20"/>
      <c r="Q134" s="22"/>
      <c r="R134" s="20"/>
      <c r="S134" s="20"/>
      <c r="T134" s="20"/>
      <c r="W134" s="20"/>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row>
    <row r="135" spans="2:49" x14ac:dyDescent="0.2">
      <c r="B135" s="20"/>
      <c r="C135" s="20"/>
      <c r="D135" s="20"/>
      <c r="E135" s="20"/>
      <c r="F135" s="20"/>
      <c r="G135" s="20"/>
      <c r="H135" s="61"/>
      <c r="I135" s="20"/>
      <c r="J135" s="20"/>
      <c r="K135" s="22"/>
      <c r="L135" s="20"/>
      <c r="M135" s="20"/>
      <c r="N135" s="22"/>
      <c r="O135" s="20"/>
      <c r="P135" s="20"/>
      <c r="Q135" s="22"/>
      <c r="R135" s="20"/>
      <c r="S135" s="20"/>
      <c r="T135" s="20"/>
      <c r="W135" s="20"/>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row>
    <row r="136" spans="2:49" x14ac:dyDescent="0.2">
      <c r="B136" s="20"/>
      <c r="C136" s="20"/>
      <c r="D136" s="20"/>
      <c r="E136" s="20"/>
      <c r="F136" s="20"/>
      <c r="G136" s="20"/>
      <c r="H136" s="61"/>
      <c r="I136" s="20"/>
      <c r="J136" s="20"/>
      <c r="K136" s="22"/>
      <c r="L136" s="20"/>
      <c r="M136" s="20"/>
      <c r="N136" s="22"/>
      <c r="O136" s="20"/>
      <c r="P136" s="20"/>
      <c r="Q136" s="22"/>
      <c r="R136" s="20"/>
      <c r="S136" s="20"/>
      <c r="T136" s="20"/>
      <c r="W136" s="20"/>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row>
    <row r="137" spans="2:49" x14ac:dyDescent="0.2">
      <c r="B137" s="20"/>
      <c r="C137" s="20"/>
      <c r="D137" s="20"/>
      <c r="E137" s="20"/>
      <c r="F137" s="20"/>
      <c r="G137" s="20"/>
      <c r="H137" s="61"/>
      <c r="I137" s="20"/>
      <c r="J137" s="20"/>
      <c r="K137" s="22"/>
      <c r="L137" s="20"/>
      <c r="M137" s="20"/>
      <c r="N137" s="22"/>
      <c r="O137" s="20"/>
      <c r="P137" s="20"/>
      <c r="Q137" s="22"/>
      <c r="R137" s="20"/>
      <c r="S137" s="20"/>
      <c r="T137" s="20"/>
      <c r="W137" s="20"/>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row>
    <row r="138" spans="2:49" x14ac:dyDescent="0.2">
      <c r="B138" s="20"/>
      <c r="C138" s="20"/>
      <c r="D138" s="20"/>
      <c r="E138" s="20"/>
      <c r="F138" s="20"/>
      <c r="G138" s="20"/>
      <c r="H138" s="61"/>
      <c r="I138" s="20"/>
      <c r="J138" s="20"/>
      <c r="K138" s="22"/>
      <c r="L138" s="20"/>
      <c r="M138" s="20"/>
      <c r="N138" s="22"/>
      <c r="O138" s="20"/>
      <c r="P138" s="20"/>
      <c r="Q138" s="22"/>
      <c r="R138" s="20"/>
      <c r="S138" s="20"/>
      <c r="T138" s="20"/>
      <c r="W138" s="20"/>
      <c r="X138" s="20"/>
      <c r="Y138" s="20"/>
      <c r="Z138" s="20"/>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row>
    <row r="139" spans="2:49" x14ac:dyDescent="0.2">
      <c r="B139" s="20"/>
      <c r="C139" s="20"/>
      <c r="D139" s="20"/>
      <c r="E139" s="20"/>
      <c r="F139" s="20"/>
      <c r="G139" s="20"/>
      <c r="H139" s="61"/>
      <c r="I139" s="20"/>
      <c r="J139" s="20"/>
      <c r="K139" s="22"/>
      <c r="L139" s="20"/>
      <c r="M139" s="20"/>
      <c r="N139" s="22"/>
      <c r="O139" s="20"/>
      <c r="P139" s="20"/>
      <c r="Q139" s="22"/>
      <c r="R139" s="20"/>
      <c r="S139" s="20"/>
      <c r="T139" s="20"/>
      <c r="W139" s="20"/>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row>
    <row r="140" spans="2:49" x14ac:dyDescent="0.2">
      <c r="B140" s="20"/>
      <c r="C140" s="20"/>
      <c r="D140" s="20"/>
      <c r="E140" s="20"/>
      <c r="F140" s="20"/>
      <c r="G140" s="20"/>
      <c r="H140" s="61"/>
      <c r="I140" s="20"/>
      <c r="J140" s="20"/>
      <c r="K140" s="22"/>
      <c r="L140" s="20"/>
      <c r="M140" s="20"/>
      <c r="N140" s="22"/>
      <c r="O140" s="20"/>
      <c r="P140" s="20"/>
      <c r="Q140" s="22"/>
      <c r="R140" s="20"/>
      <c r="S140" s="20"/>
      <c r="T140" s="20"/>
      <c r="W140" s="20"/>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row>
    <row r="141" spans="2:49" x14ac:dyDescent="0.2">
      <c r="B141" s="20"/>
      <c r="C141" s="20"/>
      <c r="D141" s="20"/>
      <c r="E141" s="20"/>
      <c r="F141" s="20"/>
      <c r="G141" s="20"/>
      <c r="H141" s="61"/>
      <c r="I141" s="20"/>
      <c r="J141" s="20"/>
      <c r="K141" s="22"/>
      <c r="L141" s="20"/>
      <c r="M141" s="20"/>
      <c r="N141" s="22"/>
      <c r="O141" s="20"/>
      <c r="P141" s="20"/>
      <c r="Q141" s="22"/>
      <c r="R141" s="20"/>
      <c r="S141" s="20"/>
      <c r="T141" s="20"/>
      <c r="W141" s="20"/>
      <c r="X141" s="20"/>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row>
    <row r="142" spans="2:49" x14ac:dyDescent="0.2">
      <c r="B142" s="20"/>
      <c r="C142" s="20"/>
      <c r="D142" s="20"/>
      <c r="E142" s="20"/>
      <c r="F142" s="20"/>
      <c r="G142" s="20"/>
      <c r="H142" s="61"/>
      <c r="I142" s="20"/>
      <c r="J142" s="20"/>
      <c r="K142" s="22"/>
      <c r="L142" s="20"/>
      <c r="M142" s="20"/>
      <c r="N142" s="22"/>
      <c r="O142" s="20"/>
      <c r="P142" s="20"/>
      <c r="Q142" s="22"/>
      <c r="R142" s="20"/>
      <c r="S142" s="20"/>
      <c r="T142" s="20"/>
      <c r="W142" s="20"/>
      <c r="X142" s="20"/>
      <c r="Y142" s="20"/>
      <c r="Z142" s="20"/>
      <c r="AA142" s="20"/>
      <c r="AB142" s="20"/>
      <c r="AC142" s="20"/>
      <c r="AD142" s="20"/>
      <c r="AE142" s="20"/>
      <c r="AF142" s="20"/>
      <c r="AG142" s="20"/>
      <c r="AH142" s="20"/>
      <c r="AI142" s="20"/>
      <c r="AJ142" s="20"/>
      <c r="AK142" s="20"/>
      <c r="AL142" s="20"/>
      <c r="AM142" s="20"/>
      <c r="AN142" s="20"/>
      <c r="AO142" s="20"/>
      <c r="AP142" s="20"/>
      <c r="AQ142" s="20"/>
      <c r="AR142" s="20"/>
      <c r="AS142" s="20"/>
      <c r="AT142" s="20"/>
      <c r="AU142" s="20"/>
      <c r="AV142" s="20"/>
      <c r="AW142" s="20"/>
    </row>
    <row r="143" spans="2:49" x14ac:dyDescent="0.2">
      <c r="B143" s="20"/>
      <c r="C143" s="20"/>
      <c r="D143" s="20"/>
      <c r="E143" s="20"/>
      <c r="F143" s="20"/>
      <c r="G143" s="20"/>
      <c r="H143" s="61"/>
      <c r="I143" s="20"/>
      <c r="J143" s="20"/>
      <c r="K143" s="22"/>
      <c r="L143" s="20"/>
      <c r="M143" s="20"/>
      <c r="N143" s="22"/>
      <c r="O143" s="20"/>
      <c r="P143" s="20"/>
      <c r="Q143" s="22"/>
      <c r="R143" s="20"/>
      <c r="S143" s="20"/>
      <c r="T143" s="20"/>
      <c r="W143" s="20"/>
      <c r="X143" s="20"/>
      <c r="Y143" s="20"/>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row>
    <row r="144" spans="2:49" x14ac:dyDescent="0.2">
      <c r="B144" s="20"/>
      <c r="C144" s="20"/>
      <c r="D144" s="20"/>
      <c r="E144" s="20"/>
      <c r="F144" s="20"/>
      <c r="G144" s="20"/>
      <c r="H144" s="61"/>
      <c r="I144" s="20"/>
      <c r="J144" s="20"/>
      <c r="K144" s="22"/>
      <c r="L144" s="20"/>
      <c r="M144" s="20"/>
      <c r="N144" s="22"/>
      <c r="O144" s="20"/>
      <c r="P144" s="20"/>
      <c r="Q144" s="22"/>
      <c r="R144" s="20"/>
      <c r="S144" s="20"/>
      <c r="T144" s="20"/>
      <c r="W144" s="20"/>
      <c r="X144" s="20"/>
      <c r="Y144" s="20"/>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row>
    <row r="145" spans="2:49" x14ac:dyDescent="0.2">
      <c r="B145" s="20"/>
      <c r="C145" s="20"/>
      <c r="D145" s="20"/>
      <c r="E145" s="20"/>
      <c r="F145" s="20"/>
      <c r="G145" s="20"/>
      <c r="H145" s="61"/>
      <c r="I145" s="20"/>
      <c r="J145" s="20"/>
      <c r="K145" s="22"/>
      <c r="L145" s="20"/>
      <c r="M145" s="20"/>
      <c r="N145" s="22"/>
      <c r="O145" s="20"/>
      <c r="P145" s="20"/>
      <c r="Q145" s="22"/>
      <c r="R145" s="20"/>
      <c r="S145" s="20"/>
      <c r="T145" s="20"/>
      <c r="W145" s="20"/>
      <c r="X145" s="20"/>
      <c r="Y145" s="20"/>
      <c r="Z145" s="20"/>
      <c r="AA145" s="20"/>
      <c r="AB145" s="20"/>
      <c r="AC145" s="20"/>
      <c r="AD145" s="20"/>
      <c r="AE145" s="20"/>
      <c r="AF145" s="20"/>
      <c r="AG145" s="20"/>
      <c r="AH145" s="20"/>
      <c r="AI145" s="20"/>
      <c r="AJ145" s="20"/>
      <c r="AK145" s="20"/>
      <c r="AL145" s="20"/>
      <c r="AM145" s="20"/>
      <c r="AN145" s="20"/>
      <c r="AO145" s="20"/>
      <c r="AP145" s="20"/>
      <c r="AQ145" s="20"/>
      <c r="AR145" s="20"/>
      <c r="AS145" s="20"/>
      <c r="AT145" s="20"/>
      <c r="AU145" s="20"/>
      <c r="AV145" s="20"/>
      <c r="AW145" s="20"/>
    </row>
    <row r="146" spans="2:49" x14ac:dyDescent="0.2">
      <c r="B146" s="20"/>
      <c r="C146" s="20"/>
      <c r="D146" s="20"/>
      <c r="E146" s="20"/>
      <c r="F146" s="20"/>
      <c r="G146" s="20"/>
      <c r="H146" s="61"/>
      <c r="I146" s="20"/>
      <c r="J146" s="20"/>
      <c r="K146" s="22"/>
      <c r="L146" s="20"/>
      <c r="M146" s="20"/>
      <c r="N146" s="22"/>
      <c r="O146" s="20"/>
      <c r="P146" s="20"/>
      <c r="Q146" s="22"/>
      <c r="R146" s="20"/>
      <c r="S146" s="20"/>
      <c r="T146" s="20"/>
      <c r="W146" s="20"/>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row>
    <row r="147" spans="2:49" x14ac:dyDescent="0.2">
      <c r="B147" s="20"/>
      <c r="C147" s="20"/>
      <c r="D147" s="20"/>
      <c r="E147" s="20"/>
      <c r="F147" s="20"/>
      <c r="G147" s="20"/>
      <c r="H147" s="61"/>
      <c r="I147" s="20"/>
      <c r="J147" s="20"/>
      <c r="K147" s="22"/>
      <c r="L147" s="20"/>
      <c r="M147" s="20"/>
      <c r="N147" s="22"/>
      <c r="O147" s="20"/>
      <c r="P147" s="20"/>
      <c r="Q147" s="22"/>
      <c r="R147" s="20"/>
      <c r="S147" s="20"/>
      <c r="T147" s="20"/>
      <c r="W147" s="20"/>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row>
    <row r="148" spans="2:49" x14ac:dyDescent="0.2">
      <c r="B148" s="20"/>
      <c r="C148" s="20"/>
      <c r="D148" s="20"/>
      <c r="E148" s="20"/>
      <c r="F148" s="20"/>
      <c r="G148" s="20"/>
      <c r="H148" s="61"/>
      <c r="I148" s="20"/>
      <c r="J148" s="20"/>
      <c r="K148" s="22"/>
      <c r="L148" s="20"/>
      <c r="M148" s="20"/>
      <c r="N148" s="22"/>
      <c r="O148" s="20"/>
      <c r="P148" s="20"/>
      <c r="Q148" s="22"/>
      <c r="R148" s="20"/>
      <c r="S148" s="20"/>
      <c r="T148" s="20"/>
      <c r="W148" s="20"/>
      <c r="X148" s="20"/>
      <c r="Y148" s="20"/>
      <c r="Z148" s="20"/>
      <c r="AA148" s="20"/>
      <c r="AB148" s="20"/>
      <c r="AC148" s="20"/>
      <c r="AD148" s="20"/>
      <c r="AE148" s="20"/>
      <c r="AF148" s="20"/>
      <c r="AG148" s="20"/>
      <c r="AH148" s="20"/>
      <c r="AI148" s="20"/>
      <c r="AJ148" s="20"/>
      <c r="AK148" s="20"/>
      <c r="AL148" s="20"/>
      <c r="AM148" s="20"/>
      <c r="AN148" s="20"/>
      <c r="AO148" s="20"/>
      <c r="AP148" s="20"/>
      <c r="AQ148" s="20"/>
      <c r="AR148" s="20"/>
      <c r="AS148" s="20"/>
      <c r="AT148" s="20"/>
      <c r="AU148" s="20"/>
      <c r="AV148" s="20"/>
      <c r="AW148" s="20"/>
    </row>
    <row r="149" spans="2:49" x14ac:dyDescent="0.2">
      <c r="B149" s="20"/>
      <c r="C149" s="20"/>
      <c r="D149" s="20"/>
      <c r="E149" s="20"/>
      <c r="F149" s="20"/>
      <c r="G149" s="20"/>
      <c r="H149" s="61"/>
      <c r="I149" s="20"/>
      <c r="J149" s="20"/>
      <c r="K149" s="22"/>
      <c r="L149" s="20"/>
      <c r="M149" s="20"/>
      <c r="N149" s="22"/>
      <c r="O149" s="20"/>
      <c r="P149" s="20"/>
      <c r="Q149" s="22"/>
      <c r="R149" s="20"/>
      <c r="S149" s="20"/>
      <c r="T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row>
    <row r="150" spans="2:49" x14ac:dyDescent="0.2">
      <c r="B150" s="20"/>
      <c r="C150" s="20"/>
      <c r="D150" s="20"/>
      <c r="E150" s="20"/>
      <c r="F150" s="20"/>
      <c r="G150" s="20"/>
      <c r="H150" s="61"/>
      <c r="I150" s="20"/>
      <c r="J150" s="20"/>
      <c r="K150" s="22"/>
      <c r="L150" s="20"/>
      <c r="M150" s="20"/>
      <c r="N150" s="22"/>
      <c r="O150" s="20"/>
      <c r="P150" s="20"/>
      <c r="Q150" s="22"/>
      <c r="R150" s="20"/>
      <c r="S150" s="20"/>
      <c r="T150" s="20"/>
      <c r="W150" s="20"/>
      <c r="X150" s="20"/>
      <c r="Y150" s="20"/>
      <c r="Z150" s="20"/>
      <c r="AA150" s="20"/>
      <c r="AB150" s="20"/>
      <c r="AC150" s="20"/>
      <c r="AD150" s="20"/>
      <c r="AE150" s="20"/>
      <c r="AF150" s="20"/>
      <c r="AG150" s="20"/>
      <c r="AH150" s="20"/>
      <c r="AI150" s="20"/>
      <c r="AJ150" s="20"/>
      <c r="AK150" s="20"/>
      <c r="AL150" s="20"/>
      <c r="AM150" s="20"/>
      <c r="AN150" s="20"/>
      <c r="AO150" s="20"/>
      <c r="AP150" s="20"/>
      <c r="AQ150" s="20"/>
      <c r="AR150" s="20"/>
      <c r="AS150" s="20"/>
      <c r="AT150" s="20"/>
      <c r="AU150" s="20"/>
      <c r="AV150" s="20"/>
      <c r="AW150" s="20"/>
    </row>
    <row r="151" spans="2:49" x14ac:dyDescent="0.2">
      <c r="B151" s="20"/>
      <c r="C151" s="20"/>
      <c r="D151" s="20"/>
      <c r="E151" s="20"/>
      <c r="F151" s="20"/>
      <c r="G151" s="20"/>
      <c r="H151" s="61"/>
      <c r="I151" s="20"/>
      <c r="J151" s="20"/>
      <c r="K151" s="22"/>
      <c r="L151" s="20"/>
      <c r="M151" s="20"/>
      <c r="N151" s="22"/>
      <c r="O151" s="20"/>
      <c r="P151" s="20"/>
      <c r="Q151" s="22"/>
      <c r="R151" s="20"/>
      <c r="S151" s="20"/>
      <c r="T151" s="20"/>
      <c r="W151" s="20"/>
      <c r="X151" s="20"/>
      <c r="Y151" s="20"/>
      <c r="Z151" s="20"/>
      <c r="AA151" s="20"/>
      <c r="AB151" s="20"/>
      <c r="AC151" s="20"/>
      <c r="AD151" s="20"/>
      <c r="AE151" s="20"/>
      <c r="AF151" s="20"/>
      <c r="AG151" s="20"/>
      <c r="AH151" s="20"/>
      <c r="AI151" s="20"/>
      <c r="AJ151" s="20"/>
      <c r="AK151" s="20"/>
      <c r="AL151" s="20"/>
      <c r="AM151" s="20"/>
      <c r="AN151" s="20"/>
      <c r="AO151" s="20"/>
      <c r="AP151" s="20"/>
      <c r="AQ151" s="20"/>
      <c r="AR151" s="20"/>
      <c r="AS151" s="20"/>
      <c r="AT151" s="20"/>
      <c r="AU151" s="20"/>
      <c r="AV151" s="20"/>
      <c r="AW151" s="20"/>
    </row>
    <row r="152" spans="2:49" x14ac:dyDescent="0.2">
      <c r="B152" s="20"/>
      <c r="C152" s="20"/>
      <c r="D152" s="20"/>
      <c r="E152" s="20"/>
      <c r="F152" s="20"/>
      <c r="G152" s="20"/>
      <c r="H152" s="61"/>
      <c r="I152" s="20"/>
      <c r="J152" s="20"/>
      <c r="K152" s="22"/>
      <c r="L152" s="20"/>
      <c r="M152" s="20"/>
      <c r="N152" s="22"/>
      <c r="O152" s="20"/>
      <c r="P152" s="20"/>
      <c r="Q152" s="22"/>
      <c r="R152" s="20"/>
      <c r="S152" s="20"/>
      <c r="T152" s="20"/>
      <c r="W152" s="20"/>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row>
    <row r="153" spans="2:49" x14ac:dyDescent="0.2">
      <c r="B153" s="20"/>
      <c r="C153" s="20"/>
      <c r="D153" s="20"/>
      <c r="E153" s="20"/>
      <c r="F153" s="20"/>
      <c r="G153" s="20"/>
      <c r="H153" s="61"/>
      <c r="I153" s="20"/>
      <c r="J153" s="20"/>
      <c r="K153" s="22"/>
      <c r="L153" s="20"/>
      <c r="M153" s="20"/>
      <c r="N153" s="22"/>
      <c r="O153" s="20"/>
      <c r="P153" s="20"/>
      <c r="Q153" s="22"/>
      <c r="R153" s="20"/>
      <c r="S153" s="20"/>
      <c r="T153" s="20"/>
      <c r="W153" s="20"/>
      <c r="X153" s="20"/>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row>
    <row r="154" spans="2:49" x14ac:dyDescent="0.2">
      <c r="B154" s="20"/>
      <c r="C154" s="20"/>
      <c r="D154" s="20"/>
      <c r="E154" s="20"/>
      <c r="F154" s="20"/>
      <c r="G154" s="20"/>
      <c r="H154" s="61"/>
      <c r="I154" s="20"/>
      <c r="J154" s="20"/>
      <c r="K154" s="22"/>
      <c r="L154" s="20"/>
      <c r="M154" s="20"/>
      <c r="N154" s="22"/>
      <c r="O154" s="20"/>
      <c r="P154" s="20"/>
      <c r="Q154" s="22"/>
      <c r="R154" s="20"/>
      <c r="S154" s="20"/>
      <c r="T154" s="20"/>
      <c r="W154" s="20"/>
      <c r="X154" s="20"/>
      <c r="Y154" s="20"/>
      <c r="Z154" s="20"/>
      <c r="AA154" s="20"/>
      <c r="AB154" s="20"/>
      <c r="AC154" s="20"/>
      <c r="AD154" s="20"/>
      <c r="AE154" s="20"/>
      <c r="AF154" s="20"/>
      <c r="AG154" s="20"/>
      <c r="AH154" s="20"/>
      <c r="AI154" s="20"/>
      <c r="AJ154" s="20"/>
      <c r="AK154" s="20"/>
      <c r="AL154" s="20"/>
      <c r="AM154" s="20"/>
      <c r="AN154" s="20"/>
      <c r="AO154" s="20"/>
      <c r="AP154" s="20"/>
      <c r="AQ154" s="20"/>
      <c r="AR154" s="20"/>
      <c r="AS154" s="20"/>
      <c r="AT154" s="20"/>
      <c r="AU154" s="20"/>
      <c r="AV154" s="20"/>
      <c r="AW154" s="20"/>
    </row>
    <row r="155" spans="2:49" x14ac:dyDescent="0.2">
      <c r="B155" s="20"/>
      <c r="C155" s="20"/>
      <c r="D155" s="20"/>
      <c r="E155" s="20"/>
      <c r="F155" s="20"/>
      <c r="G155" s="20"/>
      <c r="H155" s="61"/>
      <c r="I155" s="20"/>
      <c r="J155" s="20"/>
      <c r="K155" s="22"/>
      <c r="L155" s="20"/>
      <c r="M155" s="20"/>
      <c r="N155" s="22"/>
      <c r="O155" s="20"/>
      <c r="P155" s="20"/>
      <c r="Q155" s="22"/>
      <c r="R155" s="20"/>
      <c r="S155" s="20"/>
      <c r="T155" s="20"/>
      <c r="W155" s="20"/>
      <c r="X155" s="20"/>
      <c r="Y155" s="20"/>
      <c r="Z155" s="20"/>
      <c r="AA155" s="20"/>
      <c r="AB155" s="20"/>
      <c r="AC155" s="20"/>
      <c r="AD155" s="20"/>
      <c r="AE155" s="20"/>
      <c r="AF155" s="20"/>
      <c r="AG155" s="20"/>
      <c r="AH155" s="20"/>
      <c r="AI155" s="20"/>
      <c r="AJ155" s="20"/>
      <c r="AK155" s="20"/>
      <c r="AL155" s="20"/>
      <c r="AM155" s="20"/>
      <c r="AN155" s="20"/>
      <c r="AO155" s="20"/>
      <c r="AP155" s="20"/>
      <c r="AQ155" s="20"/>
      <c r="AR155" s="20"/>
      <c r="AS155" s="20"/>
      <c r="AT155" s="20"/>
      <c r="AU155" s="20"/>
      <c r="AV155" s="20"/>
      <c r="AW155" s="20"/>
    </row>
    <row r="156" spans="2:49" x14ac:dyDescent="0.2">
      <c r="B156" s="20"/>
      <c r="C156" s="20"/>
      <c r="D156" s="20"/>
      <c r="E156" s="20"/>
      <c r="F156" s="20"/>
      <c r="G156" s="20"/>
      <c r="H156" s="61"/>
      <c r="I156" s="20"/>
      <c r="J156" s="20"/>
      <c r="K156" s="22"/>
      <c r="L156" s="20"/>
      <c r="M156" s="20"/>
      <c r="N156" s="22"/>
      <c r="O156" s="20"/>
      <c r="P156" s="20"/>
      <c r="Q156" s="22"/>
      <c r="R156" s="20"/>
      <c r="S156" s="20"/>
      <c r="T156" s="20"/>
      <c r="W156" s="20"/>
      <c r="X156" s="20"/>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row>
    <row r="157" spans="2:49" x14ac:dyDescent="0.2">
      <c r="B157" s="20"/>
      <c r="C157" s="20"/>
      <c r="D157" s="20"/>
      <c r="E157" s="20"/>
      <c r="F157" s="20"/>
      <c r="G157" s="20"/>
      <c r="H157" s="61"/>
      <c r="I157" s="20"/>
      <c r="J157" s="20"/>
      <c r="K157" s="22"/>
      <c r="L157" s="20"/>
      <c r="M157" s="20"/>
      <c r="N157" s="22"/>
      <c r="O157" s="20"/>
      <c r="P157" s="20"/>
      <c r="Q157" s="22"/>
      <c r="R157" s="20"/>
      <c r="S157" s="20"/>
      <c r="T157" s="20"/>
      <c r="W157" s="20"/>
      <c r="X157" s="20"/>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row>
    <row r="158" spans="2:49" x14ac:dyDescent="0.2">
      <c r="B158" s="20"/>
      <c r="C158" s="20"/>
      <c r="D158" s="20"/>
      <c r="E158" s="20"/>
      <c r="F158" s="20"/>
      <c r="G158" s="20"/>
      <c r="H158" s="61"/>
      <c r="I158" s="20"/>
      <c r="J158" s="20"/>
      <c r="K158" s="22"/>
      <c r="L158" s="20"/>
      <c r="M158" s="20"/>
      <c r="N158" s="22"/>
      <c r="O158" s="20"/>
      <c r="P158" s="20"/>
      <c r="Q158" s="22"/>
      <c r="R158" s="20"/>
      <c r="S158" s="20"/>
      <c r="T158" s="20"/>
      <c r="W158" s="20"/>
      <c r="X158" s="20"/>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row>
    <row r="159" spans="2:49" x14ac:dyDescent="0.2">
      <c r="B159" s="20"/>
      <c r="C159" s="20"/>
      <c r="D159" s="20"/>
      <c r="E159" s="20"/>
      <c r="F159" s="20"/>
      <c r="G159" s="20"/>
      <c r="H159" s="61"/>
      <c r="I159" s="20"/>
      <c r="J159" s="20"/>
      <c r="K159" s="22"/>
      <c r="L159" s="20"/>
      <c r="M159" s="20"/>
      <c r="N159" s="22"/>
      <c r="O159" s="20"/>
      <c r="P159" s="20"/>
      <c r="Q159" s="22"/>
      <c r="R159" s="20"/>
      <c r="S159" s="20"/>
      <c r="T159" s="20"/>
      <c r="W159" s="20"/>
      <c r="X159" s="20"/>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row>
    <row r="160" spans="2:49" x14ac:dyDescent="0.2">
      <c r="B160" s="20"/>
      <c r="C160" s="20"/>
      <c r="D160" s="20"/>
      <c r="E160" s="20"/>
      <c r="F160" s="20"/>
      <c r="G160" s="20"/>
      <c r="H160" s="61"/>
      <c r="I160" s="20"/>
      <c r="J160" s="20"/>
      <c r="K160" s="22"/>
      <c r="L160" s="20"/>
      <c r="M160" s="20"/>
      <c r="N160" s="22"/>
      <c r="O160" s="20"/>
      <c r="P160" s="20"/>
      <c r="Q160" s="22"/>
      <c r="R160" s="20"/>
      <c r="S160" s="20"/>
      <c r="T160" s="20"/>
      <c r="W160" s="20"/>
      <c r="X160" s="20"/>
      <c r="Y160" s="20"/>
      <c r="Z160" s="20"/>
      <c r="AA160" s="20"/>
      <c r="AB160" s="20"/>
      <c r="AC160" s="20"/>
      <c r="AD160" s="20"/>
      <c r="AE160" s="20"/>
      <c r="AF160" s="20"/>
      <c r="AG160" s="20"/>
      <c r="AH160" s="20"/>
      <c r="AI160" s="20"/>
      <c r="AJ160" s="20"/>
      <c r="AK160" s="20"/>
      <c r="AL160" s="20"/>
      <c r="AM160" s="20"/>
      <c r="AN160" s="20"/>
      <c r="AO160" s="20"/>
      <c r="AP160" s="20"/>
      <c r="AQ160" s="20"/>
      <c r="AR160" s="20"/>
      <c r="AS160" s="20"/>
      <c r="AT160" s="20"/>
      <c r="AU160" s="20"/>
      <c r="AV160" s="20"/>
      <c r="AW160" s="20"/>
    </row>
    <row r="161" spans="2:49" x14ac:dyDescent="0.2">
      <c r="B161" s="20"/>
      <c r="C161" s="20"/>
      <c r="D161" s="20"/>
      <c r="E161" s="20"/>
      <c r="F161" s="20"/>
      <c r="G161" s="20"/>
      <c r="H161" s="61"/>
      <c r="I161" s="20"/>
      <c r="J161" s="20"/>
      <c r="K161" s="22"/>
      <c r="L161" s="20"/>
      <c r="M161" s="20"/>
      <c r="N161" s="22"/>
      <c r="O161" s="20"/>
      <c r="P161" s="20"/>
      <c r="Q161" s="22"/>
      <c r="R161" s="20"/>
      <c r="S161" s="20"/>
      <c r="T161" s="20"/>
      <c r="W161" s="20"/>
      <c r="X161" s="20"/>
      <c r="Y161" s="20"/>
      <c r="Z161" s="20"/>
      <c r="AA161" s="20"/>
      <c r="AB161" s="20"/>
      <c r="AC161" s="20"/>
      <c r="AD161" s="20"/>
      <c r="AE161" s="20"/>
      <c r="AF161" s="20"/>
      <c r="AG161" s="20"/>
      <c r="AH161" s="20"/>
      <c r="AI161" s="20"/>
      <c r="AJ161" s="20"/>
      <c r="AK161" s="20"/>
      <c r="AL161" s="20"/>
      <c r="AM161" s="20"/>
      <c r="AN161" s="20"/>
      <c r="AO161" s="20"/>
      <c r="AP161" s="20"/>
      <c r="AQ161" s="20"/>
      <c r="AR161" s="20"/>
      <c r="AS161" s="20"/>
      <c r="AT161" s="20"/>
      <c r="AU161" s="20"/>
      <c r="AV161" s="20"/>
      <c r="AW161" s="20"/>
    </row>
    <row r="162" spans="2:49" x14ac:dyDescent="0.2">
      <c r="B162" s="20"/>
      <c r="C162" s="20"/>
      <c r="D162" s="20"/>
      <c r="E162" s="20"/>
      <c r="F162" s="20"/>
      <c r="G162" s="20"/>
      <c r="H162" s="61"/>
      <c r="I162" s="20"/>
      <c r="J162" s="20"/>
      <c r="K162" s="22"/>
      <c r="L162" s="20"/>
      <c r="M162" s="20"/>
      <c r="N162" s="22"/>
      <c r="O162" s="20"/>
      <c r="P162" s="20"/>
      <c r="Q162" s="22"/>
      <c r="R162" s="20"/>
      <c r="S162" s="20"/>
      <c r="T162" s="20"/>
      <c r="W162" s="20"/>
      <c r="X162" s="20"/>
      <c r="Y162" s="20"/>
      <c r="Z162" s="20"/>
      <c r="AA162" s="20"/>
      <c r="AB162" s="20"/>
      <c r="AC162" s="20"/>
      <c r="AD162" s="20"/>
      <c r="AE162" s="20"/>
      <c r="AF162" s="20"/>
      <c r="AG162" s="20"/>
      <c r="AH162" s="20"/>
      <c r="AI162" s="20"/>
      <c r="AJ162" s="20"/>
      <c r="AK162" s="20"/>
      <c r="AL162" s="20"/>
      <c r="AM162" s="20"/>
      <c r="AN162" s="20"/>
      <c r="AO162" s="20"/>
      <c r="AP162" s="20"/>
      <c r="AQ162" s="20"/>
      <c r="AR162" s="20"/>
      <c r="AS162" s="20"/>
      <c r="AT162" s="20"/>
      <c r="AU162" s="20"/>
      <c r="AV162" s="20"/>
      <c r="AW162" s="20"/>
    </row>
    <row r="163" spans="2:49" x14ac:dyDescent="0.2">
      <c r="B163" s="20"/>
      <c r="C163" s="20"/>
      <c r="D163" s="20"/>
      <c r="E163" s="20"/>
      <c r="F163" s="20"/>
      <c r="G163" s="20"/>
      <c r="H163" s="61"/>
      <c r="I163" s="20"/>
      <c r="J163" s="20"/>
      <c r="K163" s="22"/>
      <c r="L163" s="20"/>
      <c r="M163" s="20"/>
      <c r="N163" s="22"/>
      <c r="O163" s="20"/>
      <c r="P163" s="20"/>
      <c r="Q163" s="22"/>
      <c r="R163" s="20"/>
      <c r="S163" s="20"/>
      <c r="T163" s="20"/>
      <c r="W163" s="20"/>
      <c r="X163" s="20"/>
      <c r="Y163" s="20"/>
      <c r="Z163" s="20"/>
      <c r="AA163" s="20"/>
      <c r="AB163" s="20"/>
      <c r="AC163" s="20"/>
      <c r="AD163" s="20"/>
      <c r="AE163" s="20"/>
      <c r="AF163" s="20"/>
      <c r="AG163" s="20"/>
      <c r="AH163" s="20"/>
      <c r="AI163" s="20"/>
      <c r="AJ163" s="20"/>
      <c r="AK163" s="20"/>
      <c r="AL163" s="20"/>
      <c r="AM163" s="20"/>
      <c r="AN163" s="20"/>
      <c r="AO163" s="20"/>
      <c r="AP163" s="20"/>
      <c r="AQ163" s="20"/>
      <c r="AR163" s="20"/>
      <c r="AS163" s="20"/>
      <c r="AT163" s="20"/>
      <c r="AU163" s="20"/>
      <c r="AV163" s="20"/>
      <c r="AW163" s="20"/>
    </row>
    <row r="164" spans="2:49" x14ac:dyDescent="0.2">
      <c r="B164" s="20"/>
      <c r="C164" s="20"/>
      <c r="D164" s="20"/>
      <c r="E164" s="20"/>
      <c r="F164" s="20"/>
      <c r="G164" s="20"/>
      <c r="H164" s="61"/>
      <c r="I164" s="20"/>
      <c r="J164" s="20"/>
      <c r="K164" s="22"/>
      <c r="L164" s="20"/>
      <c r="M164" s="20"/>
      <c r="N164" s="22"/>
      <c r="O164" s="20"/>
      <c r="P164" s="20"/>
      <c r="Q164" s="22"/>
      <c r="R164" s="20"/>
      <c r="S164" s="20"/>
      <c r="T164" s="20"/>
      <c r="W164" s="20"/>
      <c r="X164" s="20"/>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row>
    <row r="165" spans="2:49" x14ac:dyDescent="0.2">
      <c r="B165" s="20"/>
      <c r="C165" s="20"/>
      <c r="D165" s="20"/>
      <c r="E165" s="20"/>
      <c r="F165" s="20"/>
      <c r="G165" s="20"/>
      <c r="H165" s="61"/>
      <c r="I165" s="20"/>
      <c r="J165" s="20"/>
      <c r="K165" s="22"/>
      <c r="L165" s="20"/>
      <c r="M165" s="20"/>
      <c r="N165" s="22"/>
      <c r="O165" s="20"/>
      <c r="P165" s="20"/>
      <c r="Q165" s="22"/>
      <c r="R165" s="20"/>
      <c r="S165" s="20"/>
      <c r="T165" s="20"/>
      <c r="W165" s="20"/>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row>
    <row r="166" spans="2:49" x14ac:dyDescent="0.2">
      <c r="B166" s="20"/>
      <c r="C166" s="20"/>
      <c r="D166" s="20"/>
      <c r="E166" s="20"/>
      <c r="F166" s="20"/>
      <c r="G166" s="20"/>
      <c r="H166" s="61"/>
      <c r="I166" s="20"/>
      <c r="J166" s="20"/>
      <c r="K166" s="22"/>
      <c r="L166" s="20"/>
      <c r="M166" s="20"/>
      <c r="N166" s="22"/>
      <c r="O166" s="20"/>
      <c r="P166" s="20"/>
      <c r="Q166" s="22"/>
      <c r="R166" s="20"/>
      <c r="S166" s="20"/>
      <c r="T166" s="20"/>
      <c r="W166" s="20"/>
      <c r="X166" s="20"/>
      <c r="Y166" s="20"/>
      <c r="Z166" s="20"/>
      <c r="AA166" s="20"/>
      <c r="AB166" s="20"/>
      <c r="AC166" s="20"/>
      <c r="AD166" s="20"/>
      <c r="AE166" s="20"/>
      <c r="AF166" s="20"/>
      <c r="AG166" s="20"/>
      <c r="AH166" s="20"/>
      <c r="AI166" s="20"/>
      <c r="AJ166" s="20"/>
      <c r="AK166" s="20"/>
      <c r="AL166" s="20"/>
      <c r="AM166" s="20"/>
      <c r="AN166" s="20"/>
      <c r="AO166" s="20"/>
      <c r="AP166" s="20"/>
      <c r="AQ166" s="20"/>
      <c r="AR166" s="20"/>
      <c r="AS166" s="20"/>
      <c r="AT166" s="20"/>
      <c r="AU166" s="20"/>
      <c r="AV166" s="20"/>
      <c r="AW166" s="20"/>
    </row>
    <row r="167" spans="2:49" x14ac:dyDescent="0.2">
      <c r="B167" s="20"/>
      <c r="C167" s="20"/>
      <c r="D167" s="20"/>
      <c r="E167" s="20"/>
      <c r="F167" s="20"/>
      <c r="G167" s="20"/>
      <c r="H167" s="61"/>
      <c r="I167" s="20"/>
      <c r="J167" s="20"/>
      <c r="K167" s="22"/>
      <c r="L167" s="20"/>
      <c r="M167" s="20"/>
      <c r="N167" s="22"/>
      <c r="O167" s="20"/>
      <c r="P167" s="20"/>
      <c r="Q167" s="22"/>
      <c r="R167" s="20"/>
      <c r="S167" s="20"/>
      <c r="T167" s="20"/>
      <c r="W167" s="20"/>
      <c r="X167" s="20"/>
      <c r="Y167" s="20"/>
      <c r="Z167" s="20"/>
      <c r="AA167" s="20"/>
      <c r="AB167" s="20"/>
      <c r="AC167" s="20"/>
      <c r="AD167" s="20"/>
      <c r="AE167" s="20"/>
      <c r="AF167" s="20"/>
      <c r="AG167" s="20"/>
      <c r="AH167" s="20"/>
      <c r="AI167" s="20"/>
      <c r="AJ167" s="20"/>
      <c r="AK167" s="20"/>
      <c r="AL167" s="20"/>
      <c r="AM167" s="20"/>
      <c r="AN167" s="20"/>
      <c r="AO167" s="20"/>
      <c r="AP167" s="20"/>
      <c r="AQ167" s="20"/>
      <c r="AR167" s="20"/>
      <c r="AS167" s="20"/>
      <c r="AT167" s="20"/>
      <c r="AU167" s="20"/>
      <c r="AV167" s="20"/>
      <c r="AW167" s="20"/>
    </row>
    <row r="168" spans="2:49" x14ac:dyDescent="0.2">
      <c r="B168" s="20"/>
      <c r="C168" s="20"/>
      <c r="D168" s="20"/>
      <c r="E168" s="20"/>
      <c r="F168" s="20"/>
      <c r="G168" s="20"/>
      <c r="H168" s="61"/>
      <c r="I168" s="20"/>
      <c r="J168" s="20"/>
      <c r="K168" s="22"/>
      <c r="L168" s="20"/>
      <c r="M168" s="20"/>
      <c r="N168" s="22"/>
      <c r="O168" s="20"/>
      <c r="P168" s="20"/>
      <c r="Q168" s="22"/>
      <c r="R168" s="20"/>
      <c r="S168" s="20"/>
      <c r="T168" s="20"/>
      <c r="W168" s="20"/>
      <c r="X168" s="20"/>
      <c r="Y168" s="20"/>
      <c r="Z168" s="20"/>
      <c r="AA168" s="20"/>
      <c r="AB168" s="20"/>
      <c r="AC168" s="20"/>
      <c r="AD168" s="20"/>
      <c r="AE168" s="20"/>
      <c r="AF168" s="20"/>
      <c r="AG168" s="20"/>
      <c r="AH168" s="20"/>
      <c r="AI168" s="20"/>
      <c r="AJ168" s="20"/>
      <c r="AK168" s="20"/>
      <c r="AL168" s="20"/>
      <c r="AM168" s="20"/>
      <c r="AN168" s="20"/>
      <c r="AO168" s="20"/>
      <c r="AP168" s="20"/>
      <c r="AQ168" s="20"/>
      <c r="AR168" s="20"/>
      <c r="AS168" s="20"/>
      <c r="AT168" s="20"/>
      <c r="AU168" s="20"/>
      <c r="AV168" s="20"/>
      <c r="AW168" s="20"/>
    </row>
    <row r="169" spans="2:49" x14ac:dyDescent="0.2">
      <c r="B169" s="20"/>
      <c r="C169" s="20"/>
      <c r="D169" s="20"/>
      <c r="E169" s="20"/>
      <c r="F169" s="20"/>
      <c r="G169" s="20"/>
      <c r="H169" s="61"/>
      <c r="I169" s="20"/>
      <c r="J169" s="20"/>
      <c r="K169" s="22"/>
      <c r="L169" s="20"/>
      <c r="M169" s="20"/>
      <c r="N169" s="22"/>
      <c r="O169" s="20"/>
      <c r="P169" s="20"/>
      <c r="Q169" s="22"/>
      <c r="R169" s="20"/>
      <c r="S169" s="20"/>
      <c r="T169" s="20"/>
      <c r="W169" s="20"/>
      <c r="X169" s="20"/>
      <c r="Y169" s="20"/>
      <c r="Z169" s="20"/>
      <c r="AA169" s="20"/>
      <c r="AB169" s="20"/>
      <c r="AC169" s="20"/>
      <c r="AD169" s="20"/>
      <c r="AE169" s="20"/>
      <c r="AF169" s="20"/>
      <c r="AG169" s="20"/>
      <c r="AH169" s="20"/>
      <c r="AI169" s="20"/>
      <c r="AJ169" s="20"/>
      <c r="AK169" s="20"/>
      <c r="AL169" s="20"/>
      <c r="AM169" s="20"/>
      <c r="AN169" s="20"/>
      <c r="AO169" s="20"/>
      <c r="AP169" s="20"/>
      <c r="AQ169" s="20"/>
      <c r="AR169" s="20"/>
      <c r="AS169" s="20"/>
      <c r="AT169" s="20"/>
      <c r="AU169" s="20"/>
      <c r="AV169" s="20"/>
      <c r="AW169" s="20"/>
    </row>
    <row r="170" spans="2:49" x14ac:dyDescent="0.2">
      <c r="B170" s="20"/>
      <c r="C170" s="20"/>
      <c r="D170" s="20"/>
      <c r="E170" s="20"/>
      <c r="F170" s="20"/>
      <c r="G170" s="20"/>
      <c r="H170" s="61"/>
      <c r="I170" s="20"/>
      <c r="J170" s="20"/>
      <c r="K170" s="22"/>
      <c r="L170" s="20"/>
      <c r="M170" s="20"/>
      <c r="N170" s="22"/>
      <c r="O170" s="20"/>
      <c r="P170" s="20"/>
      <c r="Q170" s="22"/>
      <c r="R170" s="20"/>
      <c r="S170" s="20"/>
      <c r="T170" s="20"/>
      <c r="W170" s="20"/>
      <c r="X170" s="20"/>
      <c r="Y170" s="20"/>
      <c r="Z170" s="20"/>
      <c r="AA170" s="20"/>
      <c r="AB170" s="20"/>
      <c r="AC170" s="20"/>
      <c r="AD170" s="20"/>
      <c r="AE170" s="20"/>
      <c r="AF170" s="20"/>
      <c r="AG170" s="20"/>
      <c r="AH170" s="20"/>
      <c r="AI170" s="20"/>
      <c r="AJ170" s="20"/>
      <c r="AK170" s="20"/>
      <c r="AL170" s="20"/>
      <c r="AM170" s="20"/>
      <c r="AN170" s="20"/>
      <c r="AO170" s="20"/>
      <c r="AP170" s="20"/>
      <c r="AQ170" s="20"/>
      <c r="AR170" s="20"/>
      <c r="AS170" s="20"/>
      <c r="AT170" s="20"/>
      <c r="AU170" s="20"/>
      <c r="AV170" s="20"/>
      <c r="AW170" s="20"/>
    </row>
    <row r="171" spans="2:49" x14ac:dyDescent="0.2">
      <c r="B171" s="20"/>
      <c r="C171" s="20"/>
      <c r="D171" s="20"/>
      <c r="E171" s="20"/>
      <c r="F171" s="20"/>
      <c r="G171" s="20"/>
      <c r="H171" s="61"/>
      <c r="I171" s="20"/>
      <c r="J171" s="20"/>
      <c r="K171" s="22"/>
      <c r="L171" s="20"/>
      <c r="M171" s="20"/>
      <c r="N171" s="22"/>
      <c r="O171" s="20"/>
      <c r="P171" s="20"/>
      <c r="Q171" s="22"/>
      <c r="R171" s="20"/>
      <c r="S171" s="20"/>
      <c r="T171" s="20"/>
      <c r="W171" s="20"/>
      <c r="X171" s="20"/>
      <c r="Y171" s="20"/>
      <c r="Z171" s="20"/>
      <c r="AA171" s="20"/>
      <c r="AB171" s="20"/>
      <c r="AC171" s="20"/>
      <c r="AD171" s="20"/>
      <c r="AE171" s="20"/>
      <c r="AF171" s="20"/>
      <c r="AG171" s="20"/>
      <c r="AH171" s="20"/>
      <c r="AI171" s="20"/>
      <c r="AJ171" s="20"/>
      <c r="AK171" s="20"/>
      <c r="AL171" s="20"/>
      <c r="AM171" s="20"/>
      <c r="AN171" s="20"/>
      <c r="AO171" s="20"/>
      <c r="AP171" s="20"/>
      <c r="AQ171" s="20"/>
      <c r="AR171" s="20"/>
      <c r="AS171" s="20"/>
      <c r="AT171" s="20"/>
      <c r="AU171" s="20"/>
      <c r="AV171" s="20"/>
      <c r="AW171" s="20"/>
    </row>
    <row r="172" spans="2:49" x14ac:dyDescent="0.2">
      <c r="B172" s="20"/>
      <c r="C172" s="20"/>
      <c r="D172" s="20"/>
      <c r="E172" s="20"/>
      <c r="F172" s="20"/>
      <c r="G172" s="20"/>
      <c r="H172" s="61"/>
      <c r="I172" s="20"/>
      <c r="J172" s="20"/>
      <c r="K172" s="22"/>
      <c r="L172" s="20"/>
      <c r="M172" s="20"/>
      <c r="N172" s="22"/>
      <c r="O172" s="20"/>
      <c r="P172" s="20"/>
      <c r="Q172" s="22"/>
      <c r="R172" s="20"/>
      <c r="S172" s="20"/>
      <c r="T172" s="20"/>
      <c r="W172" s="20"/>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row>
    <row r="173" spans="2:49" x14ac:dyDescent="0.2">
      <c r="B173" s="20"/>
      <c r="C173" s="20"/>
      <c r="D173" s="20"/>
      <c r="E173" s="20"/>
      <c r="F173" s="20"/>
      <c r="G173" s="20"/>
      <c r="H173" s="61"/>
      <c r="I173" s="20"/>
      <c r="J173" s="20"/>
      <c r="K173" s="22"/>
      <c r="L173" s="20"/>
      <c r="M173" s="20"/>
      <c r="N173" s="22"/>
      <c r="O173" s="20"/>
      <c r="P173" s="20"/>
      <c r="Q173" s="22"/>
      <c r="R173" s="20"/>
      <c r="S173" s="20"/>
      <c r="T173" s="20"/>
      <c r="W173" s="20"/>
      <c r="X173" s="20"/>
      <c r="Y173" s="20"/>
      <c r="Z173" s="20"/>
      <c r="AA173" s="20"/>
      <c r="AB173" s="20"/>
      <c r="AC173" s="20"/>
      <c r="AD173" s="20"/>
      <c r="AE173" s="20"/>
      <c r="AF173" s="20"/>
      <c r="AG173" s="20"/>
      <c r="AH173" s="20"/>
      <c r="AI173" s="20"/>
      <c r="AJ173" s="20"/>
      <c r="AK173" s="20"/>
      <c r="AL173" s="20"/>
      <c r="AM173" s="20"/>
      <c r="AN173" s="20"/>
      <c r="AO173" s="20"/>
      <c r="AP173" s="20"/>
      <c r="AQ173" s="20"/>
      <c r="AR173" s="20"/>
      <c r="AS173" s="20"/>
      <c r="AT173" s="20"/>
      <c r="AU173" s="20"/>
      <c r="AV173" s="20"/>
      <c r="AW173" s="20"/>
    </row>
    <row r="174" spans="2:49" x14ac:dyDescent="0.2">
      <c r="B174" s="20"/>
      <c r="C174" s="20"/>
      <c r="D174" s="20"/>
      <c r="E174" s="20"/>
      <c r="F174" s="20"/>
      <c r="G174" s="20"/>
      <c r="H174" s="61"/>
      <c r="I174" s="20"/>
      <c r="J174" s="20"/>
      <c r="K174" s="22"/>
      <c r="L174" s="20"/>
      <c r="M174" s="20"/>
      <c r="N174" s="22"/>
      <c r="O174" s="20"/>
      <c r="P174" s="20"/>
      <c r="Q174" s="22"/>
      <c r="R174" s="20"/>
      <c r="S174" s="20"/>
      <c r="T174" s="20"/>
      <c r="W174" s="20"/>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row>
    <row r="175" spans="2:49" x14ac:dyDescent="0.2">
      <c r="B175" s="20"/>
      <c r="C175" s="20"/>
      <c r="D175" s="20"/>
      <c r="E175" s="20"/>
      <c r="F175" s="20"/>
      <c r="G175" s="20"/>
      <c r="H175" s="61"/>
      <c r="I175" s="20"/>
      <c r="J175" s="20"/>
      <c r="K175" s="22"/>
      <c r="L175" s="20"/>
      <c r="M175" s="20"/>
      <c r="N175" s="22"/>
      <c r="O175" s="20"/>
      <c r="P175" s="20"/>
      <c r="Q175" s="22"/>
      <c r="R175" s="20"/>
      <c r="S175" s="20"/>
      <c r="T175" s="20"/>
      <c r="W175" s="20"/>
      <c r="X175" s="20"/>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row>
    <row r="176" spans="2:49" x14ac:dyDescent="0.2">
      <c r="B176" s="20"/>
      <c r="C176" s="20"/>
      <c r="D176" s="20"/>
      <c r="E176" s="20"/>
      <c r="F176" s="20"/>
      <c r="G176" s="20"/>
      <c r="H176" s="61"/>
      <c r="I176" s="20"/>
      <c r="J176" s="20"/>
      <c r="K176" s="22"/>
      <c r="L176" s="20"/>
      <c r="M176" s="20"/>
      <c r="N176" s="22"/>
      <c r="O176" s="20"/>
      <c r="P176" s="20"/>
      <c r="Q176" s="22"/>
      <c r="R176" s="20"/>
      <c r="S176" s="20"/>
      <c r="T176" s="20"/>
      <c r="W176" s="20"/>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row>
    <row r="177" spans="2:49" x14ac:dyDescent="0.2">
      <c r="B177" s="20"/>
      <c r="C177" s="20"/>
      <c r="D177" s="20"/>
      <c r="E177" s="20"/>
      <c r="F177" s="20"/>
      <c r="G177" s="20"/>
      <c r="H177" s="61"/>
      <c r="I177" s="20"/>
      <c r="J177" s="20"/>
      <c r="K177" s="22"/>
      <c r="L177" s="20"/>
      <c r="M177" s="20"/>
      <c r="N177" s="22"/>
      <c r="O177" s="20"/>
      <c r="P177" s="20"/>
      <c r="Q177" s="22"/>
      <c r="R177" s="20"/>
      <c r="S177" s="20"/>
      <c r="T177" s="20"/>
      <c r="W177" s="20"/>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row>
    <row r="178" spans="2:49" x14ac:dyDescent="0.2">
      <c r="B178" s="20"/>
      <c r="C178" s="20"/>
      <c r="D178" s="20"/>
      <c r="E178" s="20"/>
      <c r="F178" s="20"/>
      <c r="G178" s="20"/>
      <c r="H178" s="61"/>
      <c r="I178" s="20"/>
      <c r="J178" s="20"/>
      <c r="K178" s="22"/>
      <c r="L178" s="20"/>
      <c r="M178" s="20"/>
      <c r="N178" s="22"/>
      <c r="O178" s="20"/>
      <c r="P178" s="20"/>
      <c r="Q178" s="22"/>
      <c r="R178" s="20"/>
      <c r="S178" s="20"/>
      <c r="T178" s="20"/>
      <c r="W178" s="20"/>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row>
    <row r="179" spans="2:49" x14ac:dyDescent="0.2">
      <c r="B179" s="20"/>
      <c r="C179" s="20"/>
      <c r="D179" s="20"/>
      <c r="E179" s="20"/>
      <c r="F179" s="20"/>
      <c r="G179" s="20"/>
      <c r="H179" s="61"/>
      <c r="I179" s="20"/>
      <c r="J179" s="20"/>
      <c r="K179" s="22"/>
      <c r="L179" s="20"/>
      <c r="M179" s="20"/>
      <c r="N179" s="22"/>
      <c r="O179" s="20"/>
      <c r="P179" s="20"/>
      <c r="Q179" s="22"/>
      <c r="R179" s="20"/>
      <c r="S179" s="20"/>
      <c r="T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row>
    <row r="180" spans="2:49" x14ac:dyDescent="0.2">
      <c r="B180" s="20"/>
      <c r="C180" s="20"/>
      <c r="D180" s="20"/>
      <c r="E180" s="20"/>
      <c r="F180" s="20"/>
      <c r="G180" s="20"/>
      <c r="H180" s="61"/>
      <c r="I180" s="20"/>
      <c r="J180" s="20"/>
      <c r="K180" s="22"/>
      <c r="L180" s="20"/>
      <c r="M180" s="20"/>
      <c r="N180" s="22"/>
      <c r="O180" s="20"/>
      <c r="P180" s="20"/>
      <c r="Q180" s="22"/>
      <c r="R180" s="20"/>
      <c r="S180" s="20"/>
      <c r="T180" s="20"/>
      <c r="W180" s="20"/>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row>
    <row r="181" spans="2:49" x14ac:dyDescent="0.2">
      <c r="B181" s="20"/>
      <c r="C181" s="20"/>
      <c r="D181" s="20"/>
      <c r="E181" s="20"/>
      <c r="F181" s="20"/>
      <c r="G181" s="20"/>
      <c r="H181" s="61"/>
      <c r="I181" s="20"/>
      <c r="J181" s="20"/>
      <c r="K181" s="22"/>
      <c r="L181" s="20"/>
      <c r="M181" s="20"/>
      <c r="N181" s="22"/>
      <c r="O181" s="20"/>
      <c r="P181" s="20"/>
      <c r="Q181" s="22"/>
      <c r="R181" s="20"/>
      <c r="S181" s="20"/>
      <c r="T181" s="20"/>
      <c r="W181" s="20"/>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row>
    <row r="182" spans="2:49" x14ac:dyDescent="0.2">
      <c r="B182" s="20"/>
      <c r="C182" s="20"/>
      <c r="D182" s="20"/>
      <c r="E182" s="20"/>
      <c r="F182" s="20"/>
      <c r="G182" s="20"/>
      <c r="H182" s="61"/>
      <c r="I182" s="20"/>
      <c r="J182" s="20"/>
      <c r="K182" s="22"/>
      <c r="L182" s="20"/>
      <c r="M182" s="20"/>
      <c r="N182" s="22"/>
      <c r="O182" s="20"/>
      <c r="P182" s="20"/>
      <c r="Q182" s="22"/>
      <c r="R182" s="20"/>
      <c r="S182" s="20"/>
      <c r="T182" s="20"/>
      <c r="W182" s="20"/>
      <c r="X182" s="20"/>
      <c r="Y182" s="20"/>
      <c r="Z182" s="20"/>
      <c r="AA182" s="20"/>
      <c r="AB182" s="20"/>
      <c r="AC182" s="20"/>
      <c r="AD182" s="20"/>
      <c r="AE182" s="20"/>
      <c r="AF182" s="20"/>
      <c r="AG182" s="20"/>
      <c r="AH182" s="20"/>
      <c r="AI182" s="20"/>
      <c r="AJ182" s="20"/>
      <c r="AK182" s="20"/>
      <c r="AL182" s="20"/>
      <c r="AM182" s="20"/>
      <c r="AN182" s="20"/>
      <c r="AO182" s="20"/>
      <c r="AP182" s="20"/>
      <c r="AQ182" s="20"/>
      <c r="AR182" s="20"/>
      <c r="AS182" s="20"/>
      <c r="AT182" s="20"/>
      <c r="AU182" s="20"/>
      <c r="AV182" s="20"/>
      <c r="AW182" s="20"/>
    </row>
    <row r="183" spans="2:49" x14ac:dyDescent="0.2">
      <c r="B183" s="20"/>
      <c r="C183" s="20"/>
      <c r="D183" s="20"/>
      <c r="E183" s="20"/>
      <c r="F183" s="20"/>
      <c r="G183" s="20"/>
      <c r="H183" s="61"/>
      <c r="I183" s="20"/>
      <c r="J183" s="20"/>
      <c r="K183" s="22"/>
      <c r="L183" s="20"/>
      <c r="M183" s="20"/>
      <c r="N183" s="22"/>
      <c r="O183" s="20"/>
      <c r="P183" s="20"/>
      <c r="Q183" s="22"/>
      <c r="R183" s="20"/>
      <c r="S183" s="20"/>
      <c r="T183" s="20"/>
      <c r="W183" s="20"/>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row>
    <row r="184" spans="2:49" x14ac:dyDescent="0.2">
      <c r="B184" s="20"/>
      <c r="C184" s="20"/>
      <c r="D184" s="20"/>
      <c r="E184" s="20"/>
      <c r="F184" s="20"/>
      <c r="G184" s="20"/>
      <c r="H184" s="61"/>
      <c r="I184" s="20"/>
      <c r="J184" s="20"/>
      <c r="K184" s="22"/>
      <c r="L184" s="20"/>
      <c r="M184" s="20"/>
      <c r="N184" s="22"/>
      <c r="O184" s="20"/>
      <c r="P184" s="20"/>
      <c r="Q184" s="22"/>
      <c r="R184" s="20"/>
      <c r="S184" s="20"/>
      <c r="T184" s="20"/>
      <c r="W184" s="20"/>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row>
    <row r="185" spans="2:49" x14ac:dyDescent="0.2">
      <c r="B185" s="20"/>
      <c r="C185" s="20"/>
      <c r="D185" s="20"/>
      <c r="E185" s="20"/>
      <c r="F185" s="20"/>
      <c r="G185" s="20"/>
      <c r="H185" s="61"/>
      <c r="I185" s="20"/>
      <c r="J185" s="20"/>
      <c r="K185" s="22"/>
      <c r="L185" s="20"/>
      <c r="M185" s="20"/>
      <c r="N185" s="22"/>
      <c r="O185" s="20"/>
      <c r="P185" s="20"/>
      <c r="Q185" s="22"/>
      <c r="R185" s="20"/>
      <c r="S185" s="20"/>
      <c r="T185" s="20"/>
      <c r="W185" s="20"/>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row>
    <row r="186" spans="2:49" x14ac:dyDescent="0.2">
      <c r="B186" s="20"/>
      <c r="C186" s="20"/>
      <c r="D186" s="20"/>
      <c r="E186" s="20"/>
      <c r="F186" s="20"/>
      <c r="G186" s="20"/>
      <c r="H186" s="61"/>
      <c r="I186" s="20"/>
      <c r="J186" s="20"/>
      <c r="K186" s="22"/>
      <c r="L186" s="20"/>
      <c r="M186" s="20"/>
      <c r="N186" s="22"/>
      <c r="O186" s="20"/>
      <c r="P186" s="20"/>
      <c r="Q186" s="22"/>
      <c r="R186" s="20"/>
      <c r="S186" s="20"/>
      <c r="T186" s="20"/>
      <c r="W186" s="20"/>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row>
    <row r="187" spans="2:49" x14ac:dyDescent="0.2">
      <c r="B187" s="20"/>
      <c r="C187" s="20"/>
      <c r="D187" s="20"/>
      <c r="E187" s="20"/>
      <c r="F187" s="20"/>
      <c r="G187" s="20"/>
      <c r="H187" s="61"/>
      <c r="I187" s="20"/>
      <c r="J187" s="20"/>
      <c r="K187" s="22"/>
      <c r="L187" s="20"/>
      <c r="M187" s="20"/>
      <c r="N187" s="22"/>
      <c r="O187" s="20"/>
      <c r="P187" s="20"/>
      <c r="Q187" s="22"/>
      <c r="R187" s="20"/>
      <c r="S187" s="20"/>
      <c r="T187" s="20"/>
      <c r="W187" s="20"/>
      <c r="X187" s="20"/>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row>
    <row r="188" spans="2:49" x14ac:dyDescent="0.2">
      <c r="B188" s="20"/>
      <c r="C188" s="20"/>
      <c r="D188" s="20"/>
      <c r="E188" s="20"/>
      <c r="F188" s="20"/>
      <c r="G188" s="20"/>
      <c r="H188" s="61"/>
      <c r="I188" s="20"/>
      <c r="J188" s="20"/>
      <c r="K188" s="22"/>
      <c r="L188" s="20"/>
      <c r="M188" s="20"/>
      <c r="N188" s="22"/>
      <c r="O188" s="20"/>
      <c r="P188" s="20"/>
      <c r="Q188" s="22"/>
      <c r="R188" s="20"/>
      <c r="S188" s="20"/>
      <c r="T188" s="20"/>
      <c r="W188" s="20"/>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row>
    <row r="189" spans="2:49" x14ac:dyDescent="0.2">
      <c r="B189" s="20"/>
      <c r="C189" s="20"/>
      <c r="D189" s="20"/>
      <c r="E189" s="20"/>
      <c r="F189" s="20"/>
      <c r="G189" s="20"/>
      <c r="H189" s="61"/>
      <c r="I189" s="20"/>
      <c r="J189" s="20"/>
      <c r="K189" s="22"/>
      <c r="L189" s="20"/>
      <c r="M189" s="20"/>
      <c r="N189" s="22"/>
      <c r="O189" s="20"/>
      <c r="P189" s="20"/>
      <c r="Q189" s="22"/>
      <c r="R189" s="20"/>
      <c r="S189" s="20"/>
      <c r="T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row>
    <row r="190" spans="2:49" x14ac:dyDescent="0.2">
      <c r="B190" s="20"/>
      <c r="C190" s="20"/>
      <c r="D190" s="20"/>
      <c r="E190" s="20"/>
      <c r="F190" s="20"/>
      <c r="G190" s="20"/>
      <c r="H190" s="61"/>
      <c r="I190" s="20"/>
      <c r="J190" s="20"/>
      <c r="K190" s="22"/>
      <c r="L190" s="20"/>
      <c r="M190" s="20"/>
      <c r="N190" s="22"/>
      <c r="O190" s="20"/>
      <c r="P190" s="20"/>
      <c r="Q190" s="22"/>
      <c r="R190" s="20"/>
      <c r="S190" s="20"/>
      <c r="T190" s="20"/>
      <c r="W190" s="20"/>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row>
    <row r="191" spans="2:49" x14ac:dyDescent="0.2">
      <c r="B191" s="20"/>
      <c r="C191" s="20"/>
      <c r="D191" s="20"/>
      <c r="E191" s="20"/>
      <c r="F191" s="20"/>
      <c r="G191" s="20"/>
      <c r="H191" s="61"/>
      <c r="I191" s="20"/>
      <c r="J191" s="20"/>
      <c r="K191" s="22"/>
      <c r="L191" s="20"/>
      <c r="M191" s="20"/>
      <c r="N191" s="22"/>
      <c r="O191" s="20"/>
      <c r="P191" s="20"/>
      <c r="Q191" s="22"/>
      <c r="R191" s="20"/>
      <c r="S191" s="20"/>
      <c r="T191" s="20"/>
      <c r="W191" s="20"/>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row>
    <row r="192" spans="2:49" x14ac:dyDescent="0.2">
      <c r="B192" s="20"/>
      <c r="C192" s="20"/>
      <c r="D192" s="20"/>
      <c r="E192" s="20"/>
      <c r="F192" s="20"/>
      <c r="G192" s="20"/>
      <c r="H192" s="61"/>
      <c r="I192" s="20"/>
      <c r="J192" s="20"/>
      <c r="K192" s="22"/>
      <c r="L192" s="20"/>
      <c r="M192" s="20"/>
      <c r="N192" s="22"/>
      <c r="O192" s="20"/>
      <c r="P192" s="20"/>
      <c r="Q192" s="22"/>
      <c r="R192" s="20"/>
      <c r="S192" s="20"/>
      <c r="T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row>
    <row r="193" spans="2:49" x14ac:dyDescent="0.2">
      <c r="B193" s="20"/>
      <c r="C193" s="20"/>
      <c r="D193" s="20"/>
      <c r="E193" s="20"/>
      <c r="F193" s="20"/>
      <c r="G193" s="20"/>
      <c r="H193" s="61"/>
      <c r="I193" s="20"/>
      <c r="J193" s="20"/>
      <c r="K193" s="22"/>
      <c r="L193" s="20"/>
      <c r="M193" s="20"/>
      <c r="N193" s="22"/>
      <c r="O193" s="20"/>
      <c r="P193" s="20"/>
      <c r="Q193" s="22"/>
      <c r="R193" s="20"/>
      <c r="S193" s="20"/>
      <c r="T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row>
    <row r="194" spans="2:49" x14ac:dyDescent="0.2">
      <c r="B194" s="20"/>
      <c r="C194" s="20"/>
      <c r="D194" s="20"/>
      <c r="E194" s="20"/>
      <c r="F194" s="20"/>
      <c r="G194" s="20"/>
      <c r="H194" s="61"/>
      <c r="I194" s="20"/>
      <c r="J194" s="20"/>
      <c r="K194" s="22"/>
      <c r="L194" s="20"/>
      <c r="M194" s="20"/>
      <c r="N194" s="22"/>
      <c r="O194" s="20"/>
      <c r="P194" s="20"/>
      <c r="Q194" s="22"/>
      <c r="R194" s="20"/>
      <c r="S194" s="20"/>
      <c r="T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row>
    <row r="195" spans="2:49" x14ac:dyDescent="0.2">
      <c r="B195" s="20"/>
      <c r="C195" s="20"/>
      <c r="D195" s="20"/>
      <c r="E195" s="20"/>
      <c r="F195" s="20"/>
      <c r="G195" s="20"/>
      <c r="H195" s="61"/>
      <c r="I195" s="20"/>
      <c r="J195" s="20"/>
      <c r="K195" s="22"/>
      <c r="L195" s="20"/>
      <c r="M195" s="20"/>
      <c r="N195" s="22"/>
      <c r="O195" s="20"/>
      <c r="P195" s="20"/>
      <c r="Q195" s="22"/>
      <c r="R195" s="20"/>
      <c r="S195" s="20"/>
      <c r="T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row>
    <row r="196" spans="2:49" x14ac:dyDescent="0.2">
      <c r="B196" s="20"/>
      <c r="C196" s="20"/>
      <c r="D196" s="20"/>
      <c r="E196" s="20"/>
      <c r="F196" s="20"/>
      <c r="G196" s="20"/>
      <c r="H196" s="61"/>
      <c r="I196" s="20"/>
      <c r="J196" s="20"/>
      <c r="K196" s="22"/>
      <c r="L196" s="20"/>
      <c r="M196" s="20"/>
      <c r="N196" s="22"/>
      <c r="O196" s="20"/>
      <c r="P196" s="20"/>
      <c r="Q196" s="22"/>
      <c r="R196" s="20"/>
      <c r="S196" s="20"/>
      <c r="T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row>
    <row r="197" spans="2:49" x14ac:dyDescent="0.2">
      <c r="B197" s="20"/>
      <c r="C197" s="20"/>
      <c r="D197" s="20"/>
      <c r="E197" s="20"/>
      <c r="F197" s="20"/>
      <c r="G197" s="20"/>
      <c r="H197" s="61"/>
      <c r="I197" s="20"/>
      <c r="J197" s="20"/>
      <c r="K197" s="22"/>
      <c r="L197" s="20"/>
      <c r="M197" s="20"/>
      <c r="N197" s="22"/>
      <c r="O197" s="20"/>
      <c r="P197" s="20"/>
      <c r="Q197" s="22"/>
      <c r="R197" s="20"/>
      <c r="S197" s="20"/>
      <c r="T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row>
    <row r="198" spans="2:49" x14ac:dyDescent="0.2">
      <c r="B198" s="20"/>
      <c r="C198" s="20"/>
      <c r="D198" s="20"/>
      <c r="E198" s="20"/>
      <c r="F198" s="20"/>
      <c r="G198" s="20"/>
      <c r="H198" s="61"/>
      <c r="I198" s="20"/>
      <c r="J198" s="20"/>
      <c r="K198" s="22"/>
      <c r="L198" s="20"/>
      <c r="M198" s="20"/>
      <c r="N198" s="22"/>
      <c r="O198" s="20"/>
      <c r="P198" s="20"/>
      <c r="Q198" s="22"/>
      <c r="R198" s="20"/>
      <c r="S198" s="20"/>
      <c r="T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row>
    <row r="199" spans="2:49" x14ac:dyDescent="0.2">
      <c r="B199" s="20"/>
      <c r="C199" s="20"/>
      <c r="D199" s="20"/>
      <c r="E199" s="20"/>
      <c r="F199" s="20"/>
      <c r="G199" s="20"/>
      <c r="H199" s="61"/>
      <c r="I199" s="20"/>
      <c r="J199" s="20"/>
      <c r="K199" s="22"/>
      <c r="L199" s="20"/>
      <c r="M199" s="20"/>
      <c r="N199" s="22"/>
      <c r="O199" s="20"/>
      <c r="P199" s="20"/>
      <c r="Q199" s="22"/>
      <c r="R199" s="20"/>
      <c r="S199" s="20"/>
      <c r="T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row>
    <row r="200" spans="2:49" x14ac:dyDescent="0.2">
      <c r="B200" s="20"/>
      <c r="C200" s="20"/>
      <c r="D200" s="20"/>
      <c r="E200" s="20"/>
      <c r="F200" s="20"/>
      <c r="G200" s="20"/>
      <c r="H200" s="61"/>
      <c r="I200" s="20"/>
      <c r="J200" s="20"/>
      <c r="K200" s="22"/>
      <c r="L200" s="20"/>
      <c r="M200" s="20"/>
      <c r="N200" s="22"/>
      <c r="O200" s="20"/>
      <c r="P200" s="20"/>
      <c r="Q200" s="22"/>
      <c r="R200" s="20"/>
      <c r="S200" s="20"/>
      <c r="T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row>
    <row r="201" spans="2:49" x14ac:dyDescent="0.2">
      <c r="B201" s="20"/>
      <c r="C201" s="20"/>
      <c r="D201" s="20"/>
      <c r="E201" s="20"/>
      <c r="F201" s="20"/>
      <c r="G201" s="20"/>
      <c r="H201" s="61"/>
      <c r="I201" s="20"/>
      <c r="J201" s="20"/>
      <c r="K201" s="22"/>
      <c r="L201" s="20"/>
      <c r="M201" s="20"/>
      <c r="N201" s="22"/>
      <c r="O201" s="20"/>
      <c r="P201" s="20"/>
      <c r="Q201" s="22"/>
      <c r="R201" s="20"/>
      <c r="S201" s="20"/>
      <c r="T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row>
    <row r="202" spans="2:49" x14ac:dyDescent="0.2">
      <c r="B202" s="20"/>
      <c r="C202" s="20"/>
      <c r="D202" s="20"/>
      <c r="E202" s="20"/>
      <c r="F202" s="20"/>
      <c r="G202" s="20"/>
      <c r="H202" s="61"/>
      <c r="I202" s="20"/>
      <c r="J202" s="20"/>
      <c r="K202" s="22"/>
      <c r="L202" s="20"/>
      <c r="M202" s="20"/>
      <c r="N202" s="22"/>
      <c r="O202" s="20"/>
      <c r="P202" s="20"/>
      <c r="Q202" s="22"/>
      <c r="R202" s="20"/>
      <c r="S202" s="20"/>
      <c r="T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row>
    <row r="203" spans="2:49" x14ac:dyDescent="0.2">
      <c r="B203" s="20"/>
      <c r="C203" s="20"/>
      <c r="D203" s="20"/>
      <c r="E203" s="20"/>
      <c r="F203" s="20"/>
      <c r="G203" s="20"/>
      <c r="H203" s="61"/>
      <c r="I203" s="20"/>
      <c r="J203" s="20"/>
      <c r="K203" s="22"/>
      <c r="L203" s="20"/>
      <c r="M203" s="20"/>
      <c r="N203" s="22"/>
      <c r="O203" s="20"/>
      <c r="P203" s="20"/>
      <c r="Q203" s="22"/>
      <c r="R203" s="20"/>
      <c r="S203" s="20"/>
      <c r="T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row>
    <row r="204" spans="2:49" x14ac:dyDescent="0.2">
      <c r="B204" s="20"/>
      <c r="C204" s="20"/>
      <c r="D204" s="20"/>
      <c r="E204" s="20"/>
      <c r="F204" s="20"/>
      <c r="G204" s="20"/>
      <c r="H204" s="61"/>
      <c r="I204" s="20"/>
      <c r="J204" s="20"/>
      <c r="K204" s="22"/>
      <c r="L204" s="20"/>
      <c r="M204" s="20"/>
      <c r="N204" s="22"/>
      <c r="O204" s="20"/>
      <c r="P204" s="20"/>
      <c r="Q204" s="22"/>
      <c r="R204" s="20"/>
      <c r="S204" s="20"/>
      <c r="T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row>
    <row r="205" spans="2:49" x14ac:dyDescent="0.2">
      <c r="B205" s="20"/>
      <c r="C205" s="20"/>
      <c r="D205" s="20"/>
      <c r="E205" s="20"/>
      <c r="F205" s="20"/>
      <c r="G205" s="20"/>
      <c r="H205" s="61"/>
      <c r="I205" s="20"/>
      <c r="J205" s="20"/>
      <c r="K205" s="22"/>
      <c r="L205" s="20"/>
      <c r="M205" s="20"/>
      <c r="N205" s="22"/>
      <c r="O205" s="20"/>
      <c r="P205" s="20"/>
      <c r="Q205" s="22"/>
      <c r="R205" s="20"/>
      <c r="S205" s="20"/>
      <c r="T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row>
    <row r="206" spans="2:49" x14ac:dyDescent="0.2">
      <c r="B206" s="20"/>
      <c r="C206" s="20"/>
      <c r="D206" s="20"/>
      <c r="E206" s="20"/>
      <c r="F206" s="20"/>
      <c r="G206" s="20"/>
      <c r="H206" s="61"/>
      <c r="I206" s="20"/>
      <c r="J206" s="20"/>
      <c r="K206" s="22"/>
      <c r="L206" s="20"/>
      <c r="M206" s="20"/>
      <c r="N206" s="22"/>
      <c r="O206" s="20"/>
      <c r="P206" s="20"/>
      <c r="Q206" s="22"/>
      <c r="R206" s="20"/>
      <c r="S206" s="20"/>
      <c r="T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row>
    <row r="207" spans="2:49" x14ac:dyDescent="0.2">
      <c r="B207" s="20"/>
      <c r="C207" s="20"/>
      <c r="D207" s="20"/>
      <c r="E207" s="20"/>
      <c r="F207" s="20"/>
      <c r="G207" s="20"/>
      <c r="H207" s="61"/>
      <c r="I207" s="20"/>
      <c r="J207" s="20"/>
      <c r="K207" s="22"/>
      <c r="L207" s="20"/>
      <c r="M207" s="20"/>
      <c r="N207" s="22"/>
      <c r="O207" s="20"/>
      <c r="P207" s="20"/>
      <c r="Q207" s="22"/>
      <c r="R207" s="20"/>
      <c r="S207" s="20"/>
      <c r="T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row>
    <row r="208" spans="2:49" x14ac:dyDescent="0.2">
      <c r="B208" s="20"/>
      <c r="C208" s="20"/>
      <c r="D208" s="20"/>
      <c r="E208" s="20"/>
      <c r="F208" s="20"/>
      <c r="G208" s="20"/>
      <c r="H208" s="61"/>
      <c r="I208" s="20"/>
      <c r="J208" s="20"/>
      <c r="K208" s="22"/>
      <c r="L208" s="20"/>
      <c r="M208" s="20"/>
      <c r="N208" s="22"/>
      <c r="O208" s="20"/>
      <c r="P208" s="20"/>
      <c r="Q208" s="22"/>
      <c r="R208" s="20"/>
      <c r="S208" s="20"/>
      <c r="T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row>
    <row r="209" spans="2:49" x14ac:dyDescent="0.2">
      <c r="B209" s="20"/>
      <c r="C209" s="20"/>
      <c r="D209" s="20"/>
      <c r="E209" s="20"/>
      <c r="F209" s="20"/>
      <c r="G209" s="20"/>
      <c r="H209" s="61"/>
      <c r="I209" s="20"/>
      <c r="J209" s="20"/>
      <c r="K209" s="22"/>
      <c r="L209" s="20"/>
      <c r="M209" s="20"/>
      <c r="N209" s="22"/>
      <c r="O209" s="20"/>
      <c r="P209" s="20"/>
      <c r="Q209" s="22"/>
      <c r="R209" s="20"/>
      <c r="S209" s="20"/>
      <c r="T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row>
    <row r="210" spans="2:49" x14ac:dyDescent="0.2">
      <c r="B210" s="20"/>
      <c r="C210" s="20"/>
      <c r="D210" s="20"/>
      <c r="E210" s="20"/>
      <c r="F210" s="20"/>
      <c r="G210" s="20"/>
      <c r="H210" s="61"/>
      <c r="I210" s="20"/>
      <c r="J210" s="20"/>
      <c r="K210" s="22"/>
      <c r="L210" s="20"/>
      <c r="M210" s="20"/>
      <c r="N210" s="22"/>
      <c r="O210" s="20"/>
      <c r="P210" s="20"/>
      <c r="Q210" s="22"/>
      <c r="R210" s="20"/>
      <c r="S210" s="20"/>
      <c r="T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row>
    <row r="211" spans="2:49" x14ac:dyDescent="0.2">
      <c r="B211" s="20"/>
      <c r="C211" s="20"/>
      <c r="D211" s="20"/>
      <c r="E211" s="20"/>
      <c r="F211" s="20"/>
      <c r="G211" s="20"/>
      <c r="H211" s="61"/>
      <c r="I211" s="20"/>
      <c r="J211" s="20"/>
      <c r="K211" s="22"/>
      <c r="L211" s="20"/>
      <c r="M211" s="20"/>
      <c r="N211" s="22"/>
      <c r="O211" s="20"/>
      <c r="P211" s="20"/>
      <c r="Q211" s="22"/>
      <c r="R211" s="20"/>
      <c r="S211" s="20"/>
      <c r="T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row>
    <row r="212" spans="2:49" x14ac:dyDescent="0.2">
      <c r="B212" s="20"/>
      <c r="C212" s="20"/>
      <c r="D212" s="20"/>
      <c r="E212" s="20"/>
      <c r="F212" s="20"/>
      <c r="G212" s="20"/>
      <c r="H212" s="61"/>
      <c r="I212" s="20"/>
      <c r="J212" s="20"/>
      <c r="K212" s="22"/>
      <c r="L212" s="20"/>
      <c r="M212" s="20"/>
      <c r="N212" s="22"/>
      <c r="O212" s="20"/>
      <c r="P212" s="20"/>
      <c r="Q212" s="22"/>
      <c r="R212" s="20"/>
      <c r="S212" s="20"/>
      <c r="T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row>
    <row r="213" spans="2:49" x14ac:dyDescent="0.2">
      <c r="B213" s="20"/>
      <c r="C213" s="20"/>
      <c r="D213" s="20"/>
      <c r="E213" s="20"/>
      <c r="F213" s="20"/>
      <c r="G213" s="20"/>
      <c r="H213" s="61"/>
      <c r="I213" s="20"/>
      <c r="J213" s="20"/>
      <c r="K213" s="22"/>
      <c r="L213" s="20"/>
      <c r="M213" s="20"/>
      <c r="N213" s="22"/>
      <c r="O213" s="20"/>
      <c r="P213" s="20"/>
      <c r="Q213" s="22"/>
      <c r="R213" s="20"/>
      <c r="S213" s="20"/>
      <c r="T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row>
    <row r="214" spans="2:49" x14ac:dyDescent="0.2">
      <c r="B214" s="20"/>
      <c r="C214" s="20"/>
      <c r="D214" s="20"/>
      <c r="E214" s="20"/>
      <c r="F214" s="20"/>
      <c r="G214" s="20"/>
      <c r="H214" s="61"/>
      <c r="I214" s="20"/>
      <c r="J214" s="20"/>
      <c r="K214" s="22"/>
      <c r="L214" s="20"/>
      <c r="M214" s="20"/>
      <c r="N214" s="22"/>
      <c r="O214" s="20"/>
      <c r="P214" s="20"/>
      <c r="Q214" s="22"/>
      <c r="R214" s="20"/>
      <c r="S214" s="20"/>
      <c r="T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row>
    <row r="215" spans="2:49" x14ac:dyDescent="0.2">
      <c r="B215" s="20"/>
      <c r="C215" s="20"/>
      <c r="D215" s="20"/>
      <c r="E215" s="20"/>
      <c r="F215" s="20"/>
      <c r="G215" s="20"/>
      <c r="H215" s="61"/>
      <c r="I215" s="20"/>
      <c r="J215" s="20"/>
      <c r="K215" s="22"/>
      <c r="L215" s="20"/>
      <c r="M215" s="20"/>
      <c r="N215" s="22"/>
      <c r="O215" s="20"/>
      <c r="P215" s="20"/>
      <c r="Q215" s="22"/>
      <c r="R215" s="20"/>
      <c r="S215" s="20"/>
      <c r="T215" s="20"/>
      <c r="W215" s="20"/>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row>
    <row r="216" spans="2:49" x14ac:dyDescent="0.2">
      <c r="B216" s="20"/>
      <c r="C216" s="20"/>
      <c r="D216" s="20"/>
      <c r="E216" s="20"/>
      <c r="F216" s="20"/>
      <c r="G216" s="20"/>
      <c r="H216" s="61"/>
      <c r="I216" s="20"/>
      <c r="J216" s="20"/>
      <c r="K216" s="22"/>
      <c r="L216" s="20"/>
      <c r="M216" s="20"/>
      <c r="N216" s="22"/>
      <c r="O216" s="20"/>
      <c r="P216" s="20"/>
      <c r="Q216" s="22"/>
      <c r="R216" s="20"/>
      <c r="S216" s="20"/>
      <c r="T216" s="20"/>
      <c r="W216" s="20"/>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row>
    <row r="217" spans="2:49" x14ac:dyDescent="0.2">
      <c r="B217" s="20"/>
      <c r="C217" s="20"/>
      <c r="D217" s="20"/>
      <c r="E217" s="20"/>
      <c r="F217" s="20"/>
      <c r="G217" s="20"/>
      <c r="H217" s="61"/>
      <c r="I217" s="20"/>
      <c r="J217" s="20"/>
      <c r="K217" s="22"/>
      <c r="L217" s="20"/>
      <c r="M217" s="20"/>
      <c r="N217" s="22"/>
      <c r="O217" s="20"/>
      <c r="P217" s="20"/>
      <c r="Q217" s="22"/>
      <c r="R217" s="20"/>
      <c r="S217" s="20"/>
      <c r="T217" s="20"/>
      <c r="W217" s="20"/>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row>
    <row r="218" spans="2:49" x14ac:dyDescent="0.2">
      <c r="B218" s="20"/>
      <c r="C218" s="20"/>
      <c r="D218" s="20"/>
      <c r="E218" s="20"/>
      <c r="F218" s="20"/>
      <c r="G218" s="20"/>
      <c r="H218" s="61"/>
      <c r="I218" s="20"/>
      <c r="J218" s="20"/>
      <c r="K218" s="22"/>
      <c r="L218" s="20"/>
      <c r="M218" s="20"/>
      <c r="N218" s="22"/>
      <c r="O218" s="20"/>
      <c r="P218" s="20"/>
      <c r="Q218" s="22"/>
      <c r="R218" s="20"/>
      <c r="S218" s="20"/>
      <c r="T218" s="20"/>
      <c r="W218" s="20"/>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row>
    <row r="219" spans="2:49" x14ac:dyDescent="0.2">
      <c r="B219" s="20"/>
      <c r="C219" s="20"/>
      <c r="D219" s="20"/>
      <c r="E219" s="20"/>
      <c r="F219" s="20"/>
      <c r="G219" s="20"/>
      <c r="H219" s="61"/>
      <c r="I219" s="20"/>
      <c r="J219" s="20"/>
      <c r="K219" s="22"/>
      <c r="L219" s="20"/>
      <c r="M219" s="20"/>
      <c r="N219" s="22"/>
      <c r="O219" s="20"/>
      <c r="P219" s="20"/>
      <c r="Q219" s="22"/>
      <c r="R219" s="20"/>
      <c r="S219" s="20"/>
      <c r="T219" s="20"/>
      <c r="W219" s="20"/>
      <c r="X219" s="20"/>
      <c r="Y219" s="20"/>
      <c r="Z219" s="20"/>
      <c r="AA219" s="20"/>
      <c r="AB219" s="20"/>
      <c r="AC219" s="20"/>
      <c r="AD219" s="20"/>
      <c r="AE219" s="20"/>
      <c r="AF219" s="20"/>
      <c r="AG219" s="20"/>
      <c r="AH219" s="20"/>
      <c r="AI219" s="20"/>
      <c r="AJ219" s="20"/>
      <c r="AK219" s="20"/>
      <c r="AL219" s="20"/>
      <c r="AM219" s="20"/>
      <c r="AN219" s="20"/>
      <c r="AO219" s="20"/>
      <c r="AP219" s="20"/>
      <c r="AQ219" s="20"/>
      <c r="AR219" s="20"/>
      <c r="AS219" s="20"/>
      <c r="AT219" s="20"/>
      <c r="AU219" s="20"/>
      <c r="AV219" s="20"/>
      <c r="AW219" s="20"/>
    </row>
    <row r="220" spans="2:49" x14ac:dyDescent="0.2">
      <c r="B220" s="20"/>
      <c r="C220" s="20"/>
      <c r="D220" s="20"/>
      <c r="E220" s="20"/>
      <c r="F220" s="20"/>
      <c r="G220" s="20"/>
      <c r="H220" s="61"/>
      <c r="I220" s="20"/>
      <c r="J220" s="20"/>
      <c r="K220" s="22"/>
      <c r="L220" s="20"/>
      <c r="M220" s="20"/>
      <c r="N220" s="22"/>
      <c r="O220" s="20"/>
      <c r="P220" s="20"/>
      <c r="Q220" s="22"/>
      <c r="R220" s="20"/>
      <c r="S220" s="20"/>
      <c r="T220" s="20"/>
      <c r="W220" s="20"/>
      <c r="X220" s="20"/>
      <c r="Y220" s="20"/>
      <c r="Z220" s="20"/>
      <c r="AA220" s="20"/>
      <c r="AB220" s="20"/>
      <c r="AC220" s="20"/>
      <c r="AD220" s="20"/>
      <c r="AE220" s="20"/>
      <c r="AF220" s="20"/>
      <c r="AG220" s="20"/>
      <c r="AH220" s="20"/>
      <c r="AI220" s="20"/>
      <c r="AJ220" s="20"/>
      <c r="AK220" s="20"/>
      <c r="AL220" s="20"/>
      <c r="AM220" s="20"/>
      <c r="AN220" s="20"/>
      <c r="AO220" s="20"/>
      <c r="AP220" s="20"/>
      <c r="AQ220" s="20"/>
      <c r="AR220" s="20"/>
      <c r="AS220" s="20"/>
      <c r="AT220" s="20"/>
      <c r="AU220" s="20"/>
      <c r="AV220" s="20"/>
      <c r="AW220" s="20"/>
    </row>
    <row r="221" spans="2:49" x14ac:dyDescent="0.2">
      <c r="B221" s="20"/>
      <c r="C221" s="20"/>
      <c r="D221" s="20"/>
      <c r="E221" s="20"/>
      <c r="F221" s="20"/>
      <c r="G221" s="20"/>
      <c r="H221" s="61"/>
      <c r="I221" s="20"/>
      <c r="J221" s="20"/>
      <c r="K221" s="22"/>
      <c r="L221" s="20"/>
      <c r="M221" s="20"/>
      <c r="N221" s="22"/>
      <c r="O221" s="20"/>
      <c r="P221" s="20"/>
      <c r="Q221" s="22"/>
      <c r="R221" s="20"/>
      <c r="S221" s="20"/>
      <c r="T221" s="20"/>
      <c r="W221" s="20"/>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row>
    <row r="222" spans="2:49" x14ac:dyDescent="0.2">
      <c r="B222" s="20"/>
      <c r="C222" s="20"/>
      <c r="D222" s="20"/>
      <c r="E222" s="20"/>
      <c r="F222" s="20"/>
      <c r="G222" s="20"/>
      <c r="H222" s="61"/>
      <c r="I222" s="20"/>
      <c r="J222" s="20"/>
      <c r="K222" s="22"/>
      <c r="L222" s="20"/>
      <c r="M222" s="20"/>
      <c r="N222" s="22"/>
      <c r="O222" s="20"/>
      <c r="P222" s="20"/>
      <c r="Q222" s="22"/>
      <c r="R222" s="20"/>
      <c r="S222" s="20"/>
      <c r="T222" s="20"/>
      <c r="W222" s="20"/>
      <c r="X222" s="20"/>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row>
    <row r="223" spans="2:49" x14ac:dyDescent="0.2">
      <c r="B223" s="20"/>
      <c r="C223" s="20"/>
      <c r="D223" s="20"/>
      <c r="E223" s="20"/>
      <c r="F223" s="20"/>
      <c r="G223" s="20"/>
      <c r="H223" s="61"/>
      <c r="I223" s="20"/>
      <c r="J223" s="20"/>
      <c r="K223" s="22"/>
      <c r="L223" s="20"/>
      <c r="M223" s="20"/>
      <c r="N223" s="22"/>
      <c r="O223" s="20"/>
      <c r="P223" s="20"/>
      <c r="Q223" s="22"/>
      <c r="R223" s="20"/>
      <c r="S223" s="20"/>
      <c r="T223" s="20"/>
      <c r="W223" s="20"/>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row>
    <row r="224" spans="2:49" x14ac:dyDescent="0.2">
      <c r="B224" s="20"/>
      <c r="C224" s="20"/>
      <c r="D224" s="20"/>
      <c r="E224" s="20"/>
      <c r="F224" s="20"/>
      <c r="G224" s="20"/>
      <c r="H224" s="61"/>
      <c r="I224" s="20"/>
      <c r="J224" s="20"/>
      <c r="K224" s="22"/>
      <c r="L224" s="20"/>
      <c r="M224" s="20"/>
      <c r="N224" s="22"/>
      <c r="O224" s="20"/>
      <c r="P224" s="20"/>
      <c r="Q224" s="22"/>
      <c r="R224" s="20"/>
      <c r="S224" s="20"/>
      <c r="T224" s="20"/>
      <c r="W224" s="20"/>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row>
    <row r="225" spans="2:49" x14ac:dyDescent="0.2">
      <c r="B225" s="20"/>
      <c r="C225" s="20"/>
      <c r="D225" s="20"/>
      <c r="E225" s="20"/>
      <c r="F225" s="20"/>
      <c r="G225" s="20"/>
      <c r="H225" s="61"/>
      <c r="I225" s="20"/>
      <c r="J225" s="20"/>
      <c r="K225" s="22"/>
      <c r="L225" s="20"/>
      <c r="M225" s="20"/>
      <c r="N225" s="22"/>
      <c r="O225" s="20"/>
      <c r="P225" s="20"/>
      <c r="Q225" s="22"/>
      <c r="R225" s="20"/>
      <c r="S225" s="20"/>
      <c r="T225" s="20"/>
      <c r="W225" s="20"/>
      <c r="X225" s="20"/>
      <c r="Y225" s="20"/>
      <c r="Z225" s="20"/>
      <c r="AA225" s="20"/>
      <c r="AB225" s="20"/>
      <c r="AC225" s="20"/>
      <c r="AD225" s="20"/>
      <c r="AE225" s="20"/>
      <c r="AF225" s="20"/>
      <c r="AG225" s="20"/>
      <c r="AH225" s="20"/>
      <c r="AI225" s="20"/>
      <c r="AJ225" s="20"/>
      <c r="AK225" s="20"/>
      <c r="AL225" s="20"/>
      <c r="AM225" s="20"/>
      <c r="AN225" s="20"/>
      <c r="AO225" s="20"/>
      <c r="AP225" s="20"/>
      <c r="AQ225" s="20"/>
      <c r="AR225" s="20"/>
      <c r="AS225" s="20"/>
      <c r="AT225" s="20"/>
      <c r="AU225" s="20"/>
      <c r="AV225" s="20"/>
      <c r="AW225" s="20"/>
    </row>
    <row r="226" spans="2:49" x14ac:dyDescent="0.2">
      <c r="B226" s="20"/>
      <c r="C226" s="20"/>
      <c r="D226" s="20"/>
      <c r="E226" s="20"/>
      <c r="F226" s="20"/>
      <c r="G226" s="20"/>
      <c r="H226" s="61"/>
      <c r="I226" s="20"/>
      <c r="J226" s="20"/>
      <c r="K226" s="22"/>
      <c r="L226" s="20"/>
      <c r="M226" s="20"/>
      <c r="N226" s="22"/>
      <c r="O226" s="20"/>
      <c r="P226" s="20"/>
      <c r="Q226" s="22"/>
      <c r="R226" s="20"/>
      <c r="S226" s="20"/>
      <c r="T226" s="20"/>
      <c r="W226" s="20"/>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row>
    <row r="227" spans="2:49" x14ac:dyDescent="0.2">
      <c r="B227" s="20"/>
      <c r="C227" s="20"/>
      <c r="D227" s="20"/>
      <c r="E227" s="20"/>
      <c r="F227" s="20"/>
      <c r="G227" s="20"/>
      <c r="H227" s="61"/>
      <c r="I227" s="20"/>
      <c r="J227" s="20"/>
      <c r="K227" s="22"/>
      <c r="L227" s="20"/>
      <c r="M227" s="20"/>
      <c r="N227" s="22"/>
      <c r="O227" s="20"/>
      <c r="P227" s="20"/>
      <c r="Q227" s="22"/>
      <c r="R227" s="20"/>
      <c r="S227" s="20"/>
      <c r="T227" s="20"/>
      <c r="W227" s="20"/>
      <c r="X227" s="20"/>
      <c r="Y227" s="20"/>
      <c r="Z227" s="20"/>
      <c r="AA227" s="20"/>
      <c r="AB227" s="20"/>
      <c r="AC227" s="20"/>
      <c r="AD227" s="20"/>
      <c r="AE227" s="20"/>
      <c r="AF227" s="20"/>
      <c r="AG227" s="20"/>
      <c r="AH227" s="20"/>
      <c r="AI227" s="20"/>
      <c r="AJ227" s="20"/>
      <c r="AK227" s="20"/>
      <c r="AL227" s="20"/>
      <c r="AM227" s="20"/>
      <c r="AN227" s="20"/>
      <c r="AO227" s="20"/>
      <c r="AP227" s="20"/>
      <c r="AQ227" s="20"/>
      <c r="AR227" s="20"/>
      <c r="AS227" s="20"/>
      <c r="AT227" s="20"/>
      <c r="AU227" s="20"/>
      <c r="AV227" s="20"/>
      <c r="AW227" s="20"/>
    </row>
    <row r="228" spans="2:49" x14ac:dyDescent="0.2">
      <c r="B228" s="20"/>
      <c r="C228" s="20"/>
      <c r="D228" s="20"/>
      <c r="E228" s="20"/>
      <c r="F228" s="20"/>
      <c r="G228" s="20"/>
      <c r="H228" s="61"/>
      <c r="I228" s="20"/>
      <c r="J228" s="20"/>
      <c r="K228" s="22"/>
      <c r="L228" s="20"/>
      <c r="M228" s="20"/>
      <c r="N228" s="22"/>
      <c r="O228" s="20"/>
      <c r="P228" s="20"/>
      <c r="Q228" s="22"/>
      <c r="R228" s="20"/>
      <c r="S228" s="20"/>
      <c r="T228" s="20"/>
      <c r="W228" s="20"/>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row>
    <row r="229" spans="2:49" x14ac:dyDescent="0.2">
      <c r="B229" s="20"/>
      <c r="C229" s="20"/>
      <c r="D229" s="20"/>
      <c r="E229" s="20"/>
      <c r="F229" s="20"/>
      <c r="G229" s="20"/>
      <c r="H229" s="61"/>
      <c r="I229" s="20"/>
      <c r="J229" s="20"/>
      <c r="K229" s="22"/>
      <c r="L229" s="20"/>
      <c r="M229" s="20"/>
      <c r="N229" s="22"/>
      <c r="O229" s="20"/>
      <c r="P229" s="20"/>
      <c r="Q229" s="22"/>
      <c r="R229" s="20"/>
      <c r="S229" s="20"/>
      <c r="T229" s="20"/>
      <c r="W229" s="20"/>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row>
    <row r="230" spans="2:49" x14ac:dyDescent="0.2">
      <c r="B230" s="20"/>
      <c r="C230" s="20"/>
      <c r="D230" s="20"/>
      <c r="E230" s="20"/>
      <c r="F230" s="20"/>
      <c r="G230" s="20"/>
      <c r="H230" s="61"/>
      <c r="I230" s="20"/>
      <c r="J230" s="20"/>
      <c r="K230" s="22"/>
      <c r="L230" s="20"/>
      <c r="M230" s="20"/>
      <c r="N230" s="22"/>
      <c r="O230" s="20"/>
      <c r="P230" s="20"/>
      <c r="Q230" s="22"/>
      <c r="R230" s="20"/>
      <c r="S230" s="20"/>
      <c r="T230" s="20"/>
      <c r="W230" s="20"/>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row>
    <row r="231" spans="2:49" x14ac:dyDescent="0.2">
      <c r="B231" s="20"/>
      <c r="C231" s="20"/>
      <c r="D231" s="20"/>
      <c r="E231" s="20"/>
      <c r="F231" s="20"/>
      <c r="G231" s="20"/>
      <c r="H231" s="61"/>
      <c r="I231" s="20"/>
      <c r="J231" s="20"/>
      <c r="K231" s="22"/>
      <c r="L231" s="20"/>
      <c r="M231" s="20"/>
      <c r="N231" s="22"/>
      <c r="O231" s="20"/>
      <c r="P231" s="20"/>
      <c r="Q231" s="22"/>
      <c r="R231" s="20"/>
      <c r="S231" s="20"/>
      <c r="T231" s="20"/>
      <c r="W231" s="20"/>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row>
    <row r="232" spans="2:49" x14ac:dyDescent="0.2">
      <c r="B232" s="20"/>
      <c r="C232" s="20"/>
      <c r="D232" s="20"/>
      <c r="E232" s="20"/>
      <c r="F232" s="20"/>
      <c r="G232" s="20"/>
      <c r="H232" s="61"/>
      <c r="I232" s="20"/>
      <c r="J232" s="20"/>
      <c r="K232" s="22"/>
      <c r="L232" s="20"/>
      <c r="M232" s="20"/>
      <c r="N232" s="22"/>
      <c r="O232" s="20"/>
      <c r="P232" s="20"/>
      <c r="Q232" s="22"/>
      <c r="R232" s="20"/>
      <c r="S232" s="20"/>
      <c r="T232" s="20"/>
      <c r="W232" s="20"/>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row>
    <row r="233" spans="2:49" x14ac:dyDescent="0.2">
      <c r="B233" s="20"/>
      <c r="C233" s="20"/>
      <c r="D233" s="20"/>
      <c r="E233" s="20"/>
      <c r="F233" s="20"/>
      <c r="G233" s="20"/>
      <c r="H233" s="61"/>
      <c r="I233" s="20"/>
      <c r="J233" s="20"/>
      <c r="K233" s="22"/>
      <c r="L233" s="20"/>
      <c r="M233" s="20"/>
      <c r="N233" s="22"/>
      <c r="O233" s="20"/>
      <c r="P233" s="20"/>
      <c r="Q233" s="22"/>
      <c r="R233" s="20"/>
      <c r="S233" s="20"/>
      <c r="T233" s="20"/>
      <c r="W233" s="20"/>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row>
    <row r="234" spans="2:49" x14ac:dyDescent="0.2">
      <c r="B234" s="20"/>
      <c r="C234" s="20"/>
      <c r="D234" s="20"/>
      <c r="E234" s="20"/>
      <c r="F234" s="20"/>
      <c r="G234" s="20"/>
      <c r="H234" s="61"/>
      <c r="I234" s="20"/>
      <c r="J234" s="20"/>
      <c r="K234" s="22"/>
      <c r="L234" s="20"/>
      <c r="M234" s="20"/>
      <c r="N234" s="22"/>
      <c r="O234" s="20"/>
      <c r="P234" s="20"/>
      <c r="Q234" s="22"/>
      <c r="R234" s="20"/>
      <c r="S234" s="20"/>
      <c r="T234" s="20"/>
      <c r="W234" s="20"/>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row>
    <row r="235" spans="2:49" x14ac:dyDescent="0.2">
      <c r="B235" s="20"/>
      <c r="C235" s="20"/>
      <c r="D235" s="20"/>
      <c r="E235" s="20"/>
      <c r="F235" s="20"/>
      <c r="G235" s="20"/>
      <c r="H235" s="61"/>
      <c r="I235" s="20"/>
      <c r="J235" s="20"/>
      <c r="K235" s="22"/>
      <c r="L235" s="20"/>
      <c r="M235" s="20"/>
      <c r="N235" s="22"/>
      <c r="O235" s="20"/>
      <c r="P235" s="20"/>
      <c r="Q235" s="22"/>
      <c r="R235" s="20"/>
      <c r="S235" s="20"/>
      <c r="T235" s="20"/>
      <c r="W235" s="20"/>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row>
    <row r="236" spans="2:49" x14ac:dyDescent="0.2">
      <c r="B236" s="20"/>
      <c r="C236" s="20"/>
      <c r="D236" s="20"/>
      <c r="E236" s="20"/>
      <c r="F236" s="20"/>
      <c r="G236" s="20"/>
      <c r="H236" s="61"/>
      <c r="I236" s="20"/>
      <c r="J236" s="20"/>
      <c r="K236" s="22"/>
      <c r="L236" s="20"/>
      <c r="M236" s="20"/>
      <c r="N236" s="22"/>
      <c r="O236" s="20"/>
      <c r="P236" s="20"/>
      <c r="Q236" s="22"/>
      <c r="R236" s="20"/>
      <c r="S236" s="20"/>
      <c r="T236" s="20"/>
      <c r="W236" s="20"/>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row>
    <row r="237" spans="2:49" x14ac:dyDescent="0.2">
      <c r="B237" s="20"/>
      <c r="C237" s="20"/>
      <c r="D237" s="20"/>
      <c r="E237" s="20"/>
      <c r="F237" s="20"/>
      <c r="G237" s="20"/>
      <c r="H237" s="61"/>
      <c r="I237" s="20"/>
      <c r="J237" s="20"/>
      <c r="K237" s="22"/>
      <c r="L237" s="20"/>
      <c r="M237" s="20"/>
      <c r="N237" s="22"/>
      <c r="O237" s="20"/>
      <c r="P237" s="20"/>
      <c r="Q237" s="22"/>
      <c r="R237" s="20"/>
      <c r="S237" s="20"/>
      <c r="T237" s="20"/>
      <c r="W237" s="20"/>
      <c r="X237" s="20"/>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row>
    <row r="238" spans="2:49" x14ac:dyDescent="0.2">
      <c r="B238" s="20"/>
      <c r="C238" s="20"/>
      <c r="D238" s="20"/>
      <c r="E238" s="20"/>
      <c r="F238" s="20"/>
      <c r="G238" s="20"/>
      <c r="H238" s="61"/>
      <c r="I238" s="20"/>
      <c r="J238" s="20"/>
      <c r="K238" s="22"/>
      <c r="L238" s="20"/>
      <c r="M238" s="20"/>
      <c r="N238" s="22"/>
      <c r="O238" s="20"/>
      <c r="P238" s="20"/>
      <c r="Q238" s="22"/>
      <c r="R238" s="20"/>
      <c r="S238" s="20"/>
      <c r="T238" s="20"/>
      <c r="W238" s="20"/>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row>
    <row r="239" spans="2:49" x14ac:dyDescent="0.2">
      <c r="B239" s="20"/>
      <c r="C239" s="20"/>
      <c r="D239" s="20"/>
      <c r="E239" s="20"/>
      <c r="F239" s="20"/>
      <c r="G239" s="20"/>
      <c r="H239" s="61"/>
      <c r="I239" s="20"/>
      <c r="J239" s="20"/>
      <c r="K239" s="22"/>
      <c r="L239" s="20"/>
      <c r="M239" s="20"/>
      <c r="N239" s="22"/>
      <c r="O239" s="20"/>
      <c r="P239" s="20"/>
      <c r="Q239" s="22"/>
      <c r="R239" s="20"/>
      <c r="S239" s="20"/>
      <c r="T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row>
    <row r="240" spans="2:49" x14ac:dyDescent="0.2">
      <c r="B240" s="20"/>
      <c r="C240" s="20"/>
      <c r="D240" s="20"/>
      <c r="E240" s="20"/>
      <c r="F240" s="20"/>
      <c r="G240" s="20"/>
      <c r="H240" s="61"/>
      <c r="I240" s="20"/>
      <c r="J240" s="20"/>
      <c r="K240" s="22"/>
      <c r="L240" s="20"/>
      <c r="M240" s="20"/>
      <c r="N240" s="22"/>
      <c r="O240" s="20"/>
      <c r="P240" s="20"/>
      <c r="Q240" s="22"/>
      <c r="R240" s="20"/>
      <c r="S240" s="20"/>
      <c r="T240" s="20"/>
      <c r="W240" s="20"/>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row>
    <row r="241" spans="2:49" x14ac:dyDescent="0.2">
      <c r="B241" s="20"/>
      <c r="C241" s="20"/>
      <c r="D241" s="20"/>
      <c r="E241" s="20"/>
      <c r="F241" s="20"/>
      <c r="G241" s="20"/>
      <c r="H241" s="61"/>
      <c r="I241" s="20"/>
      <c r="J241" s="20"/>
      <c r="K241" s="22"/>
      <c r="L241" s="20"/>
      <c r="M241" s="20"/>
      <c r="N241" s="22"/>
      <c r="O241" s="20"/>
      <c r="P241" s="20"/>
      <c r="Q241" s="22"/>
      <c r="R241" s="20"/>
      <c r="S241" s="20"/>
      <c r="T241" s="20"/>
      <c r="W241" s="20"/>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row>
    <row r="242" spans="2:49" x14ac:dyDescent="0.2">
      <c r="B242" s="20"/>
      <c r="C242" s="20"/>
      <c r="D242" s="20"/>
      <c r="E242" s="20"/>
      <c r="F242" s="20"/>
      <c r="G242" s="20"/>
      <c r="H242" s="61"/>
      <c r="I242" s="20"/>
      <c r="J242" s="20"/>
      <c r="K242" s="22"/>
      <c r="L242" s="20"/>
      <c r="M242" s="20"/>
      <c r="N242" s="22"/>
      <c r="O242" s="20"/>
      <c r="P242" s="20"/>
      <c r="Q242" s="22"/>
      <c r="R242" s="20"/>
      <c r="S242" s="20"/>
      <c r="T242" s="20"/>
      <c r="W242" s="20"/>
      <c r="X242" s="20"/>
      <c r="Y242" s="20"/>
      <c r="Z242" s="20"/>
      <c r="AA242" s="20"/>
      <c r="AB242" s="20"/>
      <c r="AC242" s="20"/>
      <c r="AD242" s="20"/>
      <c r="AE242" s="20"/>
      <c r="AF242" s="20"/>
      <c r="AG242" s="20"/>
      <c r="AH242" s="20"/>
      <c r="AI242" s="20"/>
      <c r="AJ242" s="20"/>
      <c r="AK242" s="20"/>
      <c r="AL242" s="20"/>
      <c r="AM242" s="20"/>
      <c r="AN242" s="20"/>
      <c r="AO242" s="20"/>
      <c r="AP242" s="20"/>
      <c r="AQ242" s="20"/>
      <c r="AR242" s="20"/>
      <c r="AS242" s="20"/>
      <c r="AT242" s="20"/>
      <c r="AU242" s="20"/>
      <c r="AV242" s="20"/>
      <c r="AW242" s="20"/>
    </row>
    <row r="243" spans="2:49" x14ac:dyDescent="0.2">
      <c r="B243" s="20"/>
      <c r="C243" s="20"/>
      <c r="D243" s="20"/>
      <c r="E243" s="20"/>
      <c r="F243" s="20"/>
      <c r="G243" s="20"/>
      <c r="H243" s="61"/>
      <c r="I243" s="20"/>
      <c r="J243" s="20"/>
      <c r="K243" s="22"/>
      <c r="L243" s="20"/>
      <c r="M243" s="20"/>
      <c r="N243" s="22"/>
      <c r="O243" s="20"/>
      <c r="P243" s="20"/>
      <c r="Q243" s="22"/>
      <c r="R243" s="20"/>
      <c r="S243" s="20"/>
      <c r="T243" s="20"/>
      <c r="W243" s="20"/>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row>
    <row r="244" spans="2:49" x14ac:dyDescent="0.2">
      <c r="B244" s="20"/>
      <c r="C244" s="20"/>
      <c r="D244" s="20"/>
      <c r="E244" s="20"/>
      <c r="F244" s="20"/>
      <c r="G244" s="20"/>
      <c r="H244" s="61"/>
      <c r="I244" s="20"/>
      <c r="J244" s="20"/>
      <c r="K244" s="22"/>
      <c r="L244" s="20"/>
      <c r="M244" s="20"/>
      <c r="N244" s="22"/>
      <c r="O244" s="20"/>
      <c r="P244" s="20"/>
      <c r="Q244" s="22"/>
      <c r="R244" s="20"/>
      <c r="S244" s="20"/>
      <c r="T244" s="20"/>
      <c r="W244" s="20"/>
      <c r="X244" s="20"/>
      <c r="Y244" s="20"/>
      <c r="Z244" s="20"/>
      <c r="AA244" s="20"/>
      <c r="AB244" s="20"/>
      <c r="AC244" s="20"/>
      <c r="AD244" s="20"/>
      <c r="AE244" s="20"/>
      <c r="AF244" s="20"/>
      <c r="AG244" s="20"/>
      <c r="AH244" s="20"/>
      <c r="AI244" s="20"/>
      <c r="AJ244" s="20"/>
      <c r="AK244" s="20"/>
      <c r="AL244" s="20"/>
      <c r="AM244" s="20"/>
      <c r="AN244" s="20"/>
      <c r="AO244" s="20"/>
      <c r="AP244" s="20"/>
      <c r="AQ244" s="20"/>
      <c r="AR244" s="20"/>
      <c r="AS244" s="20"/>
      <c r="AT244" s="20"/>
      <c r="AU244" s="20"/>
      <c r="AV244" s="20"/>
      <c r="AW244" s="20"/>
    </row>
    <row r="245" spans="2:49" x14ac:dyDescent="0.2">
      <c r="B245" s="20"/>
      <c r="C245" s="20"/>
      <c r="D245" s="20"/>
      <c r="E245" s="20"/>
      <c r="F245" s="20"/>
      <c r="G245" s="20"/>
      <c r="H245" s="61"/>
      <c r="I245" s="20"/>
      <c r="J245" s="20"/>
      <c r="K245" s="22"/>
      <c r="L245" s="20"/>
      <c r="M245" s="20"/>
      <c r="N245" s="22"/>
      <c r="O245" s="20"/>
      <c r="P245" s="20"/>
      <c r="Q245" s="22"/>
      <c r="R245" s="20"/>
      <c r="S245" s="20"/>
      <c r="T245" s="20"/>
      <c r="W245" s="20"/>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row>
    <row r="246" spans="2:49" x14ac:dyDescent="0.2">
      <c r="B246" s="20"/>
      <c r="C246" s="20"/>
      <c r="D246" s="20"/>
      <c r="E246" s="20"/>
      <c r="F246" s="20"/>
      <c r="G246" s="20"/>
      <c r="H246" s="61"/>
      <c r="I246" s="20"/>
      <c r="J246" s="20"/>
      <c r="K246" s="22"/>
      <c r="L246" s="20"/>
      <c r="M246" s="20"/>
      <c r="N246" s="22"/>
      <c r="O246" s="20"/>
      <c r="P246" s="20"/>
      <c r="Q246" s="22"/>
      <c r="R246" s="20"/>
      <c r="S246" s="20"/>
      <c r="T246" s="20"/>
      <c r="W246" s="20"/>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row>
    <row r="247" spans="2:49" x14ac:dyDescent="0.2">
      <c r="B247" s="20"/>
      <c r="C247" s="20"/>
      <c r="D247" s="20"/>
      <c r="E247" s="20"/>
      <c r="F247" s="20"/>
      <c r="G247" s="20"/>
      <c r="H247" s="61"/>
      <c r="I247" s="20"/>
      <c r="J247" s="20"/>
      <c r="K247" s="22"/>
      <c r="L247" s="20"/>
      <c r="M247" s="20"/>
      <c r="N247" s="22"/>
      <c r="O247" s="20"/>
      <c r="P247" s="20"/>
      <c r="Q247" s="22"/>
      <c r="R247" s="20"/>
      <c r="S247" s="20"/>
      <c r="T247" s="20"/>
      <c r="W247" s="20"/>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row>
    <row r="248" spans="2:49" x14ac:dyDescent="0.2">
      <c r="B248" s="20"/>
      <c r="C248" s="20"/>
      <c r="D248" s="20"/>
      <c r="E248" s="20"/>
      <c r="F248" s="20"/>
      <c r="G248" s="20"/>
      <c r="H248" s="61"/>
      <c r="I248" s="20"/>
      <c r="J248" s="20"/>
      <c r="K248" s="22"/>
      <c r="L248" s="20"/>
      <c r="M248" s="20"/>
      <c r="N248" s="22"/>
      <c r="O248" s="20"/>
      <c r="P248" s="20"/>
      <c r="Q248" s="22"/>
      <c r="R248" s="20"/>
      <c r="S248" s="20"/>
      <c r="T248" s="20"/>
      <c r="W248" s="20"/>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row>
    <row r="249" spans="2:49" x14ac:dyDescent="0.2">
      <c r="B249" s="20"/>
      <c r="C249" s="20"/>
      <c r="D249" s="20"/>
      <c r="E249" s="20"/>
      <c r="F249" s="20"/>
      <c r="G249" s="20"/>
      <c r="H249" s="61"/>
      <c r="I249" s="20"/>
      <c r="J249" s="20"/>
      <c r="K249" s="22"/>
      <c r="L249" s="20"/>
      <c r="M249" s="20"/>
      <c r="N249" s="22"/>
      <c r="O249" s="20"/>
      <c r="P249" s="20"/>
      <c r="Q249" s="22"/>
      <c r="R249" s="20"/>
      <c r="S249" s="20"/>
      <c r="T249" s="20"/>
      <c r="W249" s="20"/>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row>
    <row r="250" spans="2:49" x14ac:dyDescent="0.2">
      <c r="B250" s="20"/>
      <c r="C250" s="20"/>
      <c r="D250" s="20"/>
      <c r="E250" s="20"/>
      <c r="F250" s="20"/>
      <c r="G250" s="20"/>
      <c r="H250" s="61"/>
      <c r="I250" s="20"/>
      <c r="J250" s="20"/>
      <c r="K250" s="22"/>
      <c r="L250" s="20"/>
      <c r="M250" s="20"/>
      <c r="N250" s="22"/>
      <c r="O250" s="20"/>
      <c r="P250" s="20"/>
      <c r="Q250" s="22"/>
      <c r="R250" s="20"/>
      <c r="S250" s="20"/>
      <c r="T250" s="20"/>
      <c r="W250" s="20"/>
      <c r="X250" s="20"/>
      <c r="Y250" s="20"/>
      <c r="Z250" s="20"/>
      <c r="AA250" s="20"/>
      <c r="AB250" s="20"/>
      <c r="AC250" s="20"/>
      <c r="AD250" s="20"/>
      <c r="AE250" s="20"/>
      <c r="AF250" s="20"/>
      <c r="AG250" s="20"/>
      <c r="AH250" s="20"/>
      <c r="AI250" s="20"/>
      <c r="AJ250" s="20"/>
      <c r="AK250" s="20"/>
      <c r="AL250" s="20"/>
      <c r="AM250" s="20"/>
      <c r="AN250" s="20"/>
      <c r="AO250" s="20"/>
      <c r="AP250" s="20"/>
      <c r="AQ250" s="20"/>
      <c r="AR250" s="20"/>
      <c r="AS250" s="20"/>
      <c r="AT250" s="20"/>
      <c r="AU250" s="20"/>
      <c r="AV250" s="20"/>
      <c r="AW250" s="20"/>
    </row>
    <row r="251" spans="2:49" x14ac:dyDescent="0.2">
      <c r="B251" s="20"/>
      <c r="C251" s="20"/>
      <c r="D251" s="20"/>
      <c r="E251" s="20"/>
      <c r="F251" s="20"/>
      <c r="G251" s="20"/>
      <c r="H251" s="61"/>
      <c r="I251" s="20"/>
      <c r="J251" s="20"/>
      <c r="K251" s="22"/>
      <c r="L251" s="20"/>
      <c r="M251" s="20"/>
      <c r="N251" s="22"/>
      <c r="O251" s="20"/>
      <c r="P251" s="20"/>
      <c r="Q251" s="22"/>
      <c r="R251" s="20"/>
      <c r="S251" s="20"/>
      <c r="T251" s="20"/>
      <c r="W251" s="20"/>
      <c r="X251" s="20"/>
      <c r="Y251" s="20"/>
      <c r="Z251" s="20"/>
      <c r="AA251" s="20"/>
      <c r="AB251" s="20"/>
      <c r="AC251" s="20"/>
      <c r="AD251" s="20"/>
      <c r="AE251" s="20"/>
      <c r="AF251" s="20"/>
      <c r="AG251" s="20"/>
      <c r="AH251" s="20"/>
      <c r="AI251" s="20"/>
      <c r="AJ251" s="20"/>
      <c r="AK251" s="20"/>
      <c r="AL251" s="20"/>
      <c r="AM251" s="20"/>
      <c r="AN251" s="20"/>
      <c r="AO251" s="20"/>
      <c r="AP251" s="20"/>
      <c r="AQ251" s="20"/>
      <c r="AR251" s="20"/>
      <c r="AS251" s="20"/>
      <c r="AT251" s="20"/>
      <c r="AU251" s="20"/>
      <c r="AV251" s="20"/>
      <c r="AW251" s="20"/>
    </row>
    <row r="252" spans="2:49" x14ac:dyDescent="0.2">
      <c r="B252" s="20"/>
      <c r="C252" s="20"/>
      <c r="D252" s="20"/>
      <c r="E252" s="20"/>
      <c r="F252" s="20"/>
      <c r="G252" s="20"/>
      <c r="H252" s="61"/>
      <c r="I252" s="20"/>
      <c r="J252" s="20"/>
      <c r="K252" s="22"/>
      <c r="L252" s="20"/>
      <c r="M252" s="20"/>
      <c r="N252" s="22"/>
      <c r="O252" s="20"/>
      <c r="P252" s="20"/>
      <c r="Q252" s="22"/>
      <c r="R252" s="20"/>
      <c r="S252" s="20"/>
      <c r="T252" s="20"/>
      <c r="W252" s="20"/>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row>
    <row r="253" spans="2:49" x14ac:dyDescent="0.2">
      <c r="B253" s="20"/>
      <c r="C253" s="20"/>
      <c r="D253" s="20"/>
      <c r="E253" s="20"/>
      <c r="F253" s="20"/>
      <c r="G253" s="20"/>
      <c r="H253" s="61"/>
      <c r="I253" s="20"/>
      <c r="J253" s="20"/>
      <c r="K253" s="22"/>
      <c r="L253" s="20"/>
      <c r="M253" s="20"/>
      <c r="N253" s="22"/>
      <c r="O253" s="20"/>
      <c r="P253" s="20"/>
      <c r="Q253" s="22"/>
      <c r="R253" s="20"/>
      <c r="S253" s="20"/>
      <c r="T253" s="20"/>
      <c r="W253" s="20"/>
      <c r="X253" s="20"/>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row>
    <row r="254" spans="2:49" x14ac:dyDescent="0.2">
      <c r="B254" s="20"/>
      <c r="C254" s="20"/>
      <c r="D254" s="20"/>
      <c r="E254" s="20"/>
      <c r="F254" s="20"/>
      <c r="G254" s="20"/>
      <c r="H254" s="61"/>
      <c r="I254" s="20"/>
      <c r="J254" s="20"/>
      <c r="K254" s="22"/>
      <c r="L254" s="20"/>
      <c r="M254" s="20"/>
      <c r="N254" s="22"/>
      <c r="O254" s="20"/>
      <c r="P254" s="20"/>
      <c r="Q254" s="22"/>
      <c r="R254" s="20"/>
      <c r="S254" s="20"/>
      <c r="T254" s="20"/>
      <c r="W254" s="20"/>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row>
    <row r="255" spans="2:49" x14ac:dyDescent="0.2">
      <c r="B255" s="20"/>
      <c r="C255" s="20"/>
      <c r="D255" s="20"/>
      <c r="E255" s="20"/>
      <c r="F255" s="20"/>
      <c r="G255" s="20"/>
      <c r="H255" s="61"/>
      <c r="I255" s="20"/>
      <c r="J255" s="20"/>
      <c r="K255" s="22"/>
      <c r="L255" s="20"/>
      <c r="M255" s="20"/>
      <c r="N255" s="22"/>
      <c r="O255" s="20"/>
      <c r="P255" s="20"/>
      <c r="Q255" s="22"/>
      <c r="R255" s="20"/>
      <c r="S255" s="20"/>
      <c r="T255" s="20"/>
      <c r="W255" s="20"/>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row>
    <row r="256" spans="2:49" x14ac:dyDescent="0.2">
      <c r="B256" s="20"/>
      <c r="C256" s="20"/>
      <c r="D256" s="20"/>
      <c r="E256" s="20"/>
      <c r="F256" s="20"/>
      <c r="G256" s="20"/>
      <c r="H256" s="61"/>
      <c r="I256" s="20"/>
      <c r="J256" s="20"/>
      <c r="K256" s="22"/>
      <c r="L256" s="20"/>
      <c r="M256" s="20"/>
      <c r="N256" s="22"/>
      <c r="O256" s="20"/>
      <c r="P256" s="20"/>
      <c r="Q256" s="22"/>
      <c r="R256" s="20"/>
      <c r="S256" s="20"/>
      <c r="T256" s="20"/>
      <c r="W256" s="20"/>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row>
    <row r="257" spans="2:49" x14ac:dyDescent="0.2">
      <c r="B257" s="20"/>
      <c r="C257" s="20"/>
      <c r="D257" s="20"/>
      <c r="E257" s="20"/>
      <c r="F257" s="20"/>
      <c r="G257" s="20"/>
      <c r="H257" s="61"/>
      <c r="I257" s="20"/>
      <c r="J257" s="20"/>
      <c r="K257" s="22"/>
      <c r="L257" s="20"/>
      <c r="M257" s="20"/>
      <c r="N257" s="22"/>
      <c r="O257" s="20"/>
      <c r="P257" s="20"/>
      <c r="Q257" s="22"/>
      <c r="R257" s="20"/>
      <c r="S257" s="20"/>
      <c r="T257" s="20"/>
      <c r="W257" s="20"/>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row>
    <row r="258" spans="2:49" x14ac:dyDescent="0.2">
      <c r="B258" s="20"/>
      <c r="C258" s="20"/>
      <c r="D258" s="20"/>
      <c r="E258" s="20"/>
      <c r="F258" s="20"/>
      <c r="G258" s="20"/>
      <c r="H258" s="61"/>
      <c r="I258" s="20"/>
      <c r="J258" s="20"/>
      <c r="K258" s="22"/>
      <c r="L258" s="20"/>
      <c r="M258" s="20"/>
      <c r="N258" s="22"/>
      <c r="O258" s="20"/>
      <c r="P258" s="20"/>
      <c r="Q258" s="22"/>
      <c r="R258" s="20"/>
      <c r="S258" s="20"/>
      <c r="T258" s="20"/>
      <c r="W258" s="20"/>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row>
    <row r="259" spans="2:49" x14ac:dyDescent="0.2">
      <c r="B259" s="20"/>
      <c r="C259" s="20"/>
      <c r="D259" s="20"/>
      <c r="E259" s="20"/>
      <c r="F259" s="20"/>
      <c r="G259" s="20"/>
      <c r="H259" s="61"/>
      <c r="I259" s="20"/>
      <c r="J259" s="20"/>
      <c r="K259" s="22"/>
      <c r="L259" s="20"/>
      <c r="M259" s="20"/>
      <c r="N259" s="22"/>
      <c r="O259" s="20"/>
      <c r="P259" s="20"/>
      <c r="Q259" s="22"/>
      <c r="R259" s="20"/>
      <c r="S259" s="20"/>
      <c r="T259" s="20"/>
      <c r="W259" s="20"/>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row>
    <row r="260" spans="2:49" x14ac:dyDescent="0.2">
      <c r="B260" s="20"/>
      <c r="C260" s="20"/>
      <c r="D260" s="20"/>
      <c r="E260" s="20"/>
      <c r="F260" s="20"/>
      <c r="G260" s="20"/>
      <c r="H260" s="61"/>
      <c r="I260" s="20"/>
      <c r="J260" s="20"/>
      <c r="K260" s="22"/>
      <c r="L260" s="20"/>
      <c r="M260" s="20"/>
      <c r="N260" s="22"/>
      <c r="O260" s="20"/>
      <c r="P260" s="20"/>
      <c r="Q260" s="22"/>
      <c r="R260" s="20"/>
      <c r="S260" s="20"/>
      <c r="T260" s="20"/>
      <c r="W260" s="20"/>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row>
    <row r="261" spans="2:49" x14ac:dyDescent="0.2">
      <c r="B261" s="20"/>
      <c r="C261" s="20"/>
      <c r="D261" s="20"/>
      <c r="E261" s="20"/>
      <c r="F261" s="20"/>
      <c r="G261" s="20"/>
      <c r="H261" s="61"/>
      <c r="I261" s="20"/>
      <c r="J261" s="20"/>
      <c r="K261" s="22"/>
      <c r="L261" s="20"/>
      <c r="M261" s="20"/>
      <c r="N261" s="22"/>
      <c r="O261" s="20"/>
      <c r="P261" s="20"/>
      <c r="Q261" s="22"/>
      <c r="R261" s="20"/>
      <c r="S261" s="20"/>
      <c r="T261" s="20"/>
      <c r="W261" s="20"/>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row>
    <row r="262" spans="2:49" x14ac:dyDescent="0.2">
      <c r="B262" s="20"/>
      <c r="C262" s="20"/>
      <c r="D262" s="20"/>
      <c r="E262" s="20"/>
      <c r="F262" s="20"/>
      <c r="G262" s="20"/>
      <c r="H262" s="61"/>
      <c r="I262" s="20"/>
      <c r="J262" s="20"/>
      <c r="K262" s="22"/>
      <c r="L262" s="20"/>
      <c r="M262" s="20"/>
      <c r="N262" s="22"/>
      <c r="O262" s="20"/>
      <c r="P262" s="20"/>
      <c r="Q262" s="22"/>
      <c r="R262" s="20"/>
      <c r="S262" s="20"/>
      <c r="T262" s="20"/>
      <c r="W262" s="20"/>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row>
    <row r="263" spans="2:49" x14ac:dyDescent="0.2">
      <c r="B263" s="20"/>
      <c r="C263" s="20"/>
      <c r="D263" s="20"/>
      <c r="E263" s="20"/>
      <c r="F263" s="20"/>
      <c r="G263" s="20"/>
      <c r="H263" s="61"/>
      <c r="I263" s="20"/>
      <c r="J263" s="20"/>
      <c r="K263" s="22"/>
      <c r="L263" s="20"/>
      <c r="M263" s="20"/>
      <c r="N263" s="22"/>
      <c r="O263" s="20"/>
      <c r="P263" s="20"/>
      <c r="Q263" s="22"/>
      <c r="R263" s="20"/>
      <c r="S263" s="20"/>
      <c r="T263" s="20"/>
      <c r="W263" s="20"/>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row>
    <row r="264" spans="2:49" x14ac:dyDescent="0.2">
      <c r="B264" s="20"/>
      <c r="C264" s="20"/>
      <c r="D264" s="20"/>
      <c r="E264" s="20"/>
      <c r="F264" s="20"/>
      <c r="G264" s="20"/>
      <c r="H264" s="61"/>
      <c r="I264" s="20"/>
      <c r="J264" s="20"/>
      <c r="K264" s="22"/>
      <c r="L264" s="20"/>
      <c r="M264" s="20"/>
      <c r="N264" s="22"/>
      <c r="O264" s="20"/>
      <c r="P264" s="20"/>
      <c r="Q264" s="22"/>
      <c r="R264" s="20"/>
      <c r="S264" s="20"/>
      <c r="T264" s="20"/>
      <c r="W264" s="20"/>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row>
    <row r="265" spans="2:49" x14ac:dyDescent="0.2">
      <c r="B265" s="20"/>
      <c r="C265" s="20"/>
      <c r="D265" s="20"/>
      <c r="E265" s="20"/>
      <c r="F265" s="20"/>
      <c r="G265" s="20"/>
      <c r="H265" s="61"/>
      <c r="I265" s="20"/>
      <c r="J265" s="20"/>
      <c r="K265" s="22"/>
      <c r="L265" s="20"/>
      <c r="M265" s="20"/>
      <c r="N265" s="22"/>
      <c r="O265" s="20"/>
      <c r="P265" s="20"/>
      <c r="Q265" s="22"/>
      <c r="R265" s="20"/>
      <c r="S265" s="20"/>
      <c r="T265" s="20"/>
      <c r="W265" s="20"/>
      <c r="X265" s="20"/>
      <c r="Y265" s="20"/>
      <c r="Z265" s="20"/>
      <c r="AA265" s="20"/>
      <c r="AB265" s="20"/>
      <c r="AC265" s="20"/>
      <c r="AD265" s="20"/>
      <c r="AE265" s="20"/>
      <c r="AF265" s="20"/>
      <c r="AG265" s="20"/>
      <c r="AH265" s="20"/>
      <c r="AI265" s="20"/>
      <c r="AJ265" s="20"/>
      <c r="AK265" s="20"/>
      <c r="AL265" s="20"/>
      <c r="AM265" s="20"/>
      <c r="AN265" s="20"/>
      <c r="AO265" s="20"/>
      <c r="AP265" s="20"/>
      <c r="AQ265" s="20"/>
      <c r="AR265" s="20"/>
      <c r="AS265" s="20"/>
      <c r="AT265" s="20"/>
      <c r="AU265" s="20"/>
      <c r="AV265" s="20"/>
      <c r="AW265" s="20"/>
    </row>
    <row r="266" spans="2:49" x14ac:dyDescent="0.2">
      <c r="B266" s="20"/>
      <c r="C266" s="20"/>
      <c r="D266" s="20"/>
      <c r="E266" s="20"/>
      <c r="F266" s="20"/>
      <c r="G266" s="20"/>
      <c r="H266" s="61"/>
      <c r="I266" s="20"/>
      <c r="J266" s="20"/>
      <c r="K266" s="22"/>
      <c r="L266" s="20"/>
      <c r="M266" s="20"/>
      <c r="N266" s="22"/>
      <c r="O266" s="20"/>
      <c r="P266" s="20"/>
      <c r="Q266" s="22"/>
      <c r="R266" s="20"/>
      <c r="S266" s="20"/>
      <c r="T266" s="20"/>
      <c r="W266" s="20"/>
      <c r="X266" s="20"/>
      <c r="Y266" s="20"/>
      <c r="Z266" s="20"/>
      <c r="AA266" s="20"/>
      <c r="AB266" s="20"/>
      <c r="AC266" s="20"/>
      <c r="AD266" s="20"/>
      <c r="AE266" s="20"/>
      <c r="AF266" s="20"/>
      <c r="AG266" s="20"/>
      <c r="AH266" s="20"/>
      <c r="AI266" s="20"/>
      <c r="AJ266" s="20"/>
      <c r="AK266" s="20"/>
      <c r="AL266" s="20"/>
      <c r="AM266" s="20"/>
      <c r="AN266" s="20"/>
      <c r="AO266" s="20"/>
      <c r="AP266" s="20"/>
      <c r="AQ266" s="20"/>
      <c r="AR266" s="20"/>
      <c r="AS266" s="20"/>
      <c r="AT266" s="20"/>
      <c r="AU266" s="20"/>
      <c r="AV266" s="20"/>
      <c r="AW266" s="20"/>
    </row>
    <row r="267" spans="2:49" x14ac:dyDescent="0.2">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row>
    <row r="268" spans="2:49" x14ac:dyDescent="0.2">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row>
    <row r="269" spans="2:49" x14ac:dyDescent="0.2">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row>
    <row r="270" spans="2:49" x14ac:dyDescent="0.2">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row>
    <row r="271" spans="2:49" x14ac:dyDescent="0.2">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row>
    <row r="272" spans="2:49" x14ac:dyDescent="0.2">
      <c r="AB272" s="20"/>
      <c r="AC272" s="20"/>
      <c r="AD272" s="20"/>
      <c r="AE272" s="20"/>
      <c r="AF272" s="20"/>
      <c r="AG272" s="20"/>
      <c r="AH272" s="20"/>
      <c r="AI272" s="20"/>
      <c r="AJ272" s="20"/>
      <c r="AK272" s="20"/>
      <c r="AL272" s="20"/>
      <c r="AM272" s="20"/>
      <c r="AN272" s="20"/>
      <c r="AO272" s="20"/>
      <c r="AP272" s="20"/>
      <c r="AQ272" s="20"/>
      <c r="AR272" s="20"/>
      <c r="AS272" s="20"/>
      <c r="AT272" s="20"/>
      <c r="AU272" s="20"/>
      <c r="AV272" s="20"/>
      <c r="AW272" s="20"/>
    </row>
    <row r="273" spans="28:49" x14ac:dyDescent="0.2">
      <c r="AB273" s="20"/>
      <c r="AC273" s="20"/>
      <c r="AD273" s="20"/>
      <c r="AE273" s="20"/>
      <c r="AF273" s="20"/>
      <c r="AG273" s="20"/>
      <c r="AH273" s="20"/>
      <c r="AI273" s="20"/>
      <c r="AJ273" s="20"/>
      <c r="AK273" s="20"/>
      <c r="AL273" s="20"/>
      <c r="AM273" s="20"/>
      <c r="AN273" s="20"/>
      <c r="AO273" s="20"/>
      <c r="AP273" s="20"/>
      <c r="AQ273" s="20"/>
      <c r="AR273" s="20"/>
      <c r="AS273" s="20"/>
      <c r="AT273" s="20"/>
      <c r="AU273" s="20"/>
      <c r="AV273" s="20"/>
      <c r="AW273" s="20"/>
    </row>
    <row r="274" spans="28:49" x14ac:dyDescent="0.2">
      <c r="AB274" s="20"/>
      <c r="AC274" s="20"/>
      <c r="AD274" s="20"/>
      <c r="AE274" s="20"/>
      <c r="AF274" s="20"/>
      <c r="AG274" s="20"/>
      <c r="AH274" s="20"/>
      <c r="AI274" s="20"/>
      <c r="AJ274" s="20"/>
      <c r="AK274" s="20"/>
      <c r="AL274" s="20"/>
      <c r="AM274" s="20"/>
      <c r="AN274" s="20"/>
      <c r="AO274" s="20"/>
      <c r="AP274" s="20"/>
      <c r="AQ274" s="20"/>
      <c r="AR274" s="20"/>
      <c r="AS274" s="20"/>
      <c r="AT274" s="20"/>
      <c r="AU274" s="20"/>
      <c r="AV274" s="20"/>
      <c r="AW274" s="20"/>
    </row>
  </sheetData>
  <sheetProtection formatCells="0" formatColumns="0" formatRows="0" insertRows="0" deleteRows="0" sort="0" autoFilter="0"/>
  <dataValidations count="2">
    <dataValidation type="list" showInputMessage="1" showErrorMessage="1" sqref="Y8:Y9" xr:uid="{00000000-0002-0000-0100-000000000000}">
      <formula1>"Paid,Created,Sent"</formula1>
    </dataValidation>
    <dataValidation type="list" allowBlank="1" showInputMessage="1" showErrorMessage="1" sqref="Y10:Y38" xr:uid="{00000000-0002-0000-0100-000001000000}">
      <formula1>"Paid,Created,Sent"</formula1>
    </dataValidation>
  </dataValidations>
  <pageMargins left="0.7" right="0.7" top="0.75" bottom="0.75" header="0.3" footer="0.3"/>
  <pageSetup paperSize="9" orientation="portrait" r:id="rId1"/>
  <ignoredErrors>
    <ignoredError sqref="T8" unlockedFormula="1"/>
  </ignoredErrors>
  <drawing r:id="rId2"/>
  <legacyDrawing r:id="rId3"/>
  <controls>
    <mc:AlternateContent xmlns:mc="http://schemas.openxmlformats.org/markup-compatibility/2006">
      <mc:Choice Requires="x14">
        <control shapeId="7176" r:id="rId4" name="create">
          <controlPr defaultSize="0" autoLine="0" autoPict="0" r:id="rId5">
            <anchor moveWithCells="1">
              <from>
                <xdr:col>1</xdr:col>
                <xdr:colOff>1133475</xdr:colOff>
                <xdr:row>0</xdr:row>
                <xdr:rowOff>123825</xdr:rowOff>
              </from>
              <to>
                <xdr:col>2</xdr:col>
                <xdr:colOff>1200150</xdr:colOff>
                <xdr:row>3</xdr:row>
                <xdr:rowOff>0</xdr:rowOff>
              </to>
            </anchor>
          </controlPr>
        </control>
      </mc:Choice>
      <mc:Fallback>
        <control shapeId="7176" r:id="rId4" name="create"/>
      </mc:Fallback>
    </mc:AlternateContent>
    <mc:AlternateContent xmlns:mc="http://schemas.openxmlformats.org/markup-compatibility/2006">
      <mc:Choice Requires="x14">
        <control shapeId="7171" r:id="rId6" name="AXcbHidePaid">
          <controlPr defaultSize="0" autoLine="0" r:id="rId7">
            <anchor moveWithCells="1">
              <from>
                <xdr:col>1</xdr:col>
                <xdr:colOff>209550</xdr:colOff>
                <xdr:row>4</xdr:row>
                <xdr:rowOff>66675</xdr:rowOff>
              </from>
              <to>
                <xdr:col>2</xdr:col>
                <xdr:colOff>114300</xdr:colOff>
                <xdr:row>5</xdr:row>
                <xdr:rowOff>57150</xdr:rowOff>
              </to>
            </anchor>
          </controlPr>
        </control>
      </mc:Choice>
      <mc:Fallback>
        <control shapeId="7171" r:id="rId6" name="AXcbHidePaid"/>
      </mc:Fallback>
    </mc:AlternateContent>
    <mc:AlternateContent xmlns:mc="http://schemas.openxmlformats.org/markup-compatibility/2006">
      <mc:Choice Requires="x14">
        <control shapeId="7169" r:id="rId8" name="Button 1">
          <controlPr defaultSize="0" autoFill="0" autoPict="0" macro="[0]!Create_Invoice">
            <anchor moveWithCells="1" sizeWithCells="1">
              <from>
                <xdr:col>1</xdr:col>
                <xdr:colOff>180975</xdr:colOff>
                <xdr:row>0</xdr:row>
                <xdr:rowOff>152400</xdr:rowOff>
              </from>
              <to>
                <xdr:col>1</xdr:col>
                <xdr:colOff>923925</xdr:colOff>
                <xdr:row>2</xdr:row>
                <xdr:rowOff>133350</xdr:rowOff>
              </to>
            </anchor>
          </controlPr>
        </control>
      </mc:Choice>
    </mc:AlternateContent>
  </controls>
  <tableParts count="1">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mp"/>
  <dimension ref="B1:E34"/>
  <sheetViews>
    <sheetView showGridLines="0" zoomScaleNormal="100" workbookViewId="0">
      <selection activeCell="I25" sqref="I25"/>
    </sheetView>
  </sheetViews>
  <sheetFormatPr defaultRowHeight="14.25" x14ac:dyDescent="0.2"/>
  <cols>
    <col min="1" max="1" width="1.5" customWidth="1"/>
    <col min="2" max="2" width="37.375" customWidth="1"/>
    <col min="3" max="3" width="20" customWidth="1"/>
    <col min="4" max="4" width="12.5" customWidth="1"/>
    <col min="5" max="5" width="7.125" customWidth="1"/>
  </cols>
  <sheetData>
    <row r="1" spans="2:4" ht="13.5" customHeight="1" x14ac:dyDescent="0.2"/>
    <row r="3" spans="2:4" x14ac:dyDescent="0.2">
      <c r="B3" t="s">
        <v>125</v>
      </c>
    </row>
    <row r="4" spans="2:4" x14ac:dyDescent="0.2">
      <c r="B4" t="s">
        <v>126</v>
      </c>
    </row>
    <row r="5" spans="2:4" x14ac:dyDescent="0.2">
      <c r="B5" t="s">
        <v>127</v>
      </c>
    </row>
    <row r="7" spans="2:4" x14ac:dyDescent="0.2">
      <c r="C7" s="13" t="s">
        <v>261</v>
      </c>
      <c r="D7" s="65">
        <v>15074</v>
      </c>
    </row>
    <row r="8" spans="2:4" x14ac:dyDescent="0.2">
      <c r="C8" s="13" t="s">
        <v>141</v>
      </c>
      <c r="D8" s="14">
        <v>43161</v>
      </c>
    </row>
    <row r="9" spans="2:4" x14ac:dyDescent="0.2">
      <c r="C9" s="13"/>
      <c r="D9" s="13"/>
    </row>
    <row r="12" spans="2:4" x14ac:dyDescent="0.2">
      <c r="B12" t="s">
        <v>19</v>
      </c>
    </row>
    <row r="13" spans="2:4" x14ac:dyDescent="0.2">
      <c r="B13" t="s">
        <v>71</v>
      </c>
    </row>
    <row r="15" spans="2:4" x14ac:dyDescent="0.2">
      <c r="B15" t="s">
        <v>72</v>
      </c>
    </row>
    <row r="16" spans="2:4" x14ac:dyDescent="0.2">
      <c r="B16" t="s">
        <v>73</v>
      </c>
    </row>
    <row r="17" spans="2:5" x14ac:dyDescent="0.2">
      <c r="B17" t="s">
        <v>69</v>
      </c>
    </row>
    <row r="20" spans="2:5" ht="33.75" customHeight="1" x14ac:dyDescent="0.2">
      <c r="B20" s="18" t="s">
        <v>128</v>
      </c>
      <c r="C20" s="18" t="s">
        <v>129</v>
      </c>
      <c r="D20" s="18" t="s">
        <v>130</v>
      </c>
      <c r="E20" s="18" t="s">
        <v>136</v>
      </c>
    </row>
    <row r="21" spans="2:5" x14ac:dyDescent="0.2">
      <c r="B21" s="15" t="s">
        <v>226</v>
      </c>
      <c r="C21" s="19">
        <v>43027</v>
      </c>
      <c r="D21" s="17">
        <v>6750</v>
      </c>
      <c r="E21" s="68">
        <v>0</v>
      </c>
    </row>
    <row r="22" spans="2:5" x14ac:dyDescent="0.2">
      <c r="B22" s="15"/>
      <c r="C22" s="19"/>
      <c r="D22" s="17"/>
      <c r="E22" s="68">
        <f>IF(D22="",0,$E$21)</f>
        <v>0</v>
      </c>
    </row>
    <row r="23" spans="2:5" x14ac:dyDescent="0.2">
      <c r="B23" s="15"/>
      <c r="C23" s="19"/>
      <c r="D23" s="17"/>
      <c r="E23" s="68">
        <f>IF(D23="",0,$E$21)</f>
        <v>0</v>
      </c>
    </row>
    <row r="24" spans="2:5" x14ac:dyDescent="0.2">
      <c r="B24" s="15"/>
      <c r="C24" s="16"/>
      <c r="D24" s="17"/>
      <c r="E24" s="68"/>
    </row>
    <row r="25" spans="2:5" ht="21.75" customHeight="1" x14ac:dyDescent="0.2">
      <c r="C25" s="1" t="s">
        <v>131</v>
      </c>
      <c r="D25" s="5">
        <f>SUM(D21:D24)</f>
        <v>6750</v>
      </c>
    </row>
    <row r="26" spans="2:5" ht="21.75" customHeight="1" x14ac:dyDescent="0.2">
      <c r="C26" s="1" t="s">
        <v>97</v>
      </c>
      <c r="D26" s="5" cm="1">
        <f t="array" ref="D26">SUMPRODUCT(D21:D24*E21:E24)</f>
        <v>0</v>
      </c>
    </row>
    <row r="27" spans="2:5" ht="21.75" customHeight="1" x14ac:dyDescent="0.25">
      <c r="C27" s="2" t="s">
        <v>132</v>
      </c>
      <c r="D27" s="5">
        <f>D25+D26</f>
        <v>6750</v>
      </c>
    </row>
    <row r="28" spans="2:5" ht="34.5" customHeight="1" x14ac:dyDescent="0.2"/>
    <row r="29" spans="2:5" ht="42.75" customHeight="1" x14ac:dyDescent="0.2"/>
    <row r="30" spans="2:5" ht="55.5" customHeight="1" x14ac:dyDescent="0.2"/>
    <row r="31" spans="2:5" x14ac:dyDescent="0.2">
      <c r="B31" t="s">
        <v>133</v>
      </c>
    </row>
    <row r="32" spans="2:5" x14ac:dyDescent="0.2">
      <c r="B32" t="s">
        <v>232</v>
      </c>
    </row>
    <row r="33" spans="2:2" x14ac:dyDescent="0.2">
      <c r="B33" t="s">
        <v>134</v>
      </c>
    </row>
    <row r="34" spans="2:2" x14ac:dyDescent="0.2">
      <c r="B34" t="s">
        <v>135</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7413" r:id="rId4" name="emailcreate">
          <controlPr defaultSize="0" autoLine="0" r:id="rId5">
            <anchor moveWithCells="1">
              <from>
                <xdr:col>6</xdr:col>
                <xdr:colOff>19050</xdr:colOff>
                <xdr:row>12</xdr:row>
                <xdr:rowOff>142875</xdr:rowOff>
              </from>
              <to>
                <xdr:col>8</xdr:col>
                <xdr:colOff>400050</xdr:colOff>
                <xdr:row>14</xdr:row>
                <xdr:rowOff>142875</xdr:rowOff>
              </to>
            </anchor>
          </controlPr>
        </control>
      </mc:Choice>
      <mc:Fallback>
        <control shapeId="17413" r:id="rId4" name="emailcreate"/>
      </mc:Fallback>
    </mc:AlternateContent>
    <mc:AlternateContent xmlns:mc="http://schemas.openxmlformats.org/markup-compatibility/2006">
      <mc:Choice Requires="x14">
        <control shapeId="17409" r:id="rId6" name="templatecreate">
          <controlPr defaultSize="0" autoLine="0" r:id="rId7">
            <anchor moveWithCells="1">
              <from>
                <xdr:col>6</xdr:col>
                <xdr:colOff>19050</xdr:colOff>
                <xdr:row>4</xdr:row>
                <xdr:rowOff>38100</xdr:rowOff>
              </from>
              <to>
                <xdr:col>7</xdr:col>
                <xdr:colOff>590550</xdr:colOff>
                <xdr:row>6</xdr:row>
                <xdr:rowOff>9525</xdr:rowOff>
              </to>
            </anchor>
          </controlPr>
        </control>
      </mc:Choice>
      <mc:Fallback>
        <control shapeId="17409" r:id="rId6" name="templatecreate"/>
      </mc:Fallback>
    </mc:AlternateContent>
    <mc:AlternateContent xmlns:mc="http://schemas.openxmlformats.org/markup-compatibility/2006">
      <mc:Choice Requires="x14">
        <control shapeId="17410" r:id="rId8" name="Button 2">
          <controlPr defaultSize="0" print="0" autoFill="0" autoPict="0" macro="[0]!PDFSaver">
            <anchor moveWithCells="1" sizeWithCells="1">
              <from>
                <xdr:col>6</xdr:col>
                <xdr:colOff>38100</xdr:colOff>
                <xdr:row>7</xdr:row>
                <xdr:rowOff>76200</xdr:rowOff>
              </from>
              <to>
                <xdr:col>7</xdr:col>
                <xdr:colOff>638175</xdr:colOff>
                <xdr:row>9</xdr:row>
                <xdr:rowOff>9525</xdr:rowOff>
              </to>
            </anchor>
          </controlPr>
        </control>
      </mc:Choice>
    </mc:AlternateContent>
    <mc:AlternateContent xmlns:mc="http://schemas.openxmlformats.org/markup-compatibility/2006">
      <mc:Choice Requires="x14">
        <control shapeId="17411" r:id="rId9" name="Button 3">
          <controlPr defaultSize="0" print="0" autoFill="0" autoPict="0" macro="[0]!ExcelSaver">
            <anchor moveWithCells="1" sizeWithCells="1">
              <from>
                <xdr:col>6</xdr:col>
                <xdr:colOff>28575</xdr:colOff>
                <xdr:row>10</xdr:row>
                <xdr:rowOff>19050</xdr:rowOff>
              </from>
              <to>
                <xdr:col>7</xdr:col>
                <xdr:colOff>628650</xdr:colOff>
                <xdr:row>11</xdr:row>
                <xdr:rowOff>133350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08A9A00BADE22D4A9AAB94BFA4A5F0A3" ma:contentTypeVersion="4" ma:contentTypeDescription="Create a new document." ma:contentTypeScope="" ma:versionID="0c5f567ce34f8260d501918e2957ee29">
  <xsd:schema xmlns:xsd="http://www.w3.org/2001/XMLSchema" xmlns:xs="http://www.w3.org/2001/XMLSchema" xmlns:p="http://schemas.microsoft.com/office/2006/metadata/properties" xmlns:ns2="30474ed4-4542-426a-8df4-c4932fa86e4e" targetNamespace="http://schemas.microsoft.com/office/2006/metadata/properties" ma:root="true" ma:fieldsID="e3106eb8be9c2e42252a4555d262e4dd" ns2:_="">
    <xsd:import namespace="30474ed4-4542-426a-8df4-c4932fa86e4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0474ed4-4542-426a-8df4-c4932fa86e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46039B5-E5B8-4E5A-A1DF-B7EE8D6BB0CA}">
  <ds:schemaRefs>
    <ds:schemaRef ds:uri="http://schemas.microsoft.com/PowerBIAddIn"/>
  </ds:schemaRefs>
</ds:datastoreItem>
</file>

<file path=customXml/itemProps2.xml><?xml version="1.0" encoding="utf-8"?>
<ds:datastoreItem xmlns:ds="http://schemas.openxmlformats.org/officeDocument/2006/customXml" ds:itemID="{E1272C0E-EFC2-47E9-936F-F920A2DC5E3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A8727433-D9E2-4CFD-8401-2C3D1DA708A3}">
  <ds:schemaRefs>
    <ds:schemaRef ds:uri="http://schemas.microsoft.com/sharepoint/v3/contenttype/forms"/>
  </ds:schemaRefs>
</ds:datastoreItem>
</file>

<file path=customXml/itemProps4.xml><?xml version="1.0" encoding="utf-8"?>
<ds:datastoreItem xmlns:ds="http://schemas.openxmlformats.org/officeDocument/2006/customXml" ds:itemID="{7EFEE815-B322-4B0D-B49C-AFEA2087E2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0474ed4-4542-426a-8df4-c4932fa86e4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Exercise</vt:lpstr>
      <vt:lpstr>Dashboard</vt:lpstr>
      <vt:lpstr>Data</vt:lpstr>
      <vt:lpstr>Invoice</vt:lpstr>
      <vt:lpstr>Template</vt:lpstr>
      <vt:lpstr>mycompany</vt:lpstr>
      <vt:lpstr>mycustomer</vt:lpstr>
      <vt:lpstr>Data!Print_Area</vt:lpstr>
      <vt:lpstr>Template!Print_Area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Ayesha Sarwar</dc:creator>
  <cp:lastModifiedBy>Kiki Chen</cp:lastModifiedBy>
  <cp:lastPrinted>2021-09-19T14:55:52Z</cp:lastPrinted>
  <dcterms:created xsi:type="dcterms:W3CDTF">2017-10-05T08:02:23Z</dcterms:created>
  <dcterms:modified xsi:type="dcterms:W3CDTF">2021-09-19T16:09:51Z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0x01010008A9A00BADE22D4A9AAB94BFA4A5F0A3</vt:lpwstr>
  </property>
</Properties>
</file>